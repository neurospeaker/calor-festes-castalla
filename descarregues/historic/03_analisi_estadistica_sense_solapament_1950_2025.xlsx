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a6d7fae7b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86febed3752f4b8d"/>
    <x:sheet xmlns:r="http://schemas.openxmlformats.org/officeDocument/2006/relationships" name="Diagnósticos" sheetId="2" r:id="Rd627f92ac28946b1"/>
    <x:sheet xmlns:r="http://schemas.openxmlformats.org/officeDocument/2006/relationships" name="Datos anuales" sheetId="3" r:id="R14b91003c0f6443b"/>
    <x:sheet xmlns:r="http://schemas.openxmlformats.org/officeDocument/2006/relationships" name="Método" sheetId="4" r:id="Rffdc3440b6c8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"/>
    <x:numFmt numFmtId="202" formatCode="0.0%"/>
    <x:numFmt numFmtId="203" formatCode="0.000"/>
    <x:numFmt numFmtId="204" formatCode="yyyy-mm-dd"/>
    <x:numFmt numFmtId="205" formatCode="0"/>
  </x:numFmts>
  <x:fonts count="10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1"/>
      <x:color rgb="FF375623"/>
      <x:name val="Arial"/>
    </x:font>
    <x:font>
      <x:b/>
      <x:sz val="10"/>
      <x:color rgb="FFFFFFFF"/>
      <x:name val="Arial"/>
    </x:font>
    <x:font>
      <x:b/>
      <x:sz val="10"/>
      <x:color rgb="FF375623"/>
      <x:name val="Arial"/>
    </x:font>
    <x:font>
      <x:b/>
      <x:sz val="10"/>
      <x:color rgb="FF17365D"/>
      <x:name val="Arial"/>
    </x:font>
    <x:font>
      <x:i/>
      <x:sz val="9"/>
      <x:color rgb="FF666666"/>
      <x:name val="Arial"/>
    </x:font>
    <x:font>
      <x:b/>
      <x:sz val="10"/>
      <x:color rgb="FF24406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7A83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7">
    <x:border/>
    <x:border>
      <x:bottom style="thin">
        <x:color rgb="FF1F7A83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1F7A83"/>
      </x:left>
      <x:top style="thin">
        <x:color rgb="FF1F7A83"/>
      </x:top>
      <x:bottom style="thin">
        <x:color rgb="FF1F7A83"/>
      </x:bottom>
    </x:border>
    <x:border>
      <x:top style="thin">
        <x:color rgb="FF1F7A83"/>
      </x:top>
      <x:bottom style="thin">
        <x:color rgb="FF1F7A83"/>
      </x:bottom>
    </x:border>
    <x:border>
      <x:right style="thin">
        <x:color rgb="FF1F7A83"/>
      </x:right>
      <x:top style="thin">
        <x:color rgb="FF1F7A83"/>
      </x:top>
      <x:bottom style="thin">
        <x:color rgb="FF1F7A83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7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3" xfId="0" applyNumberFormat="1" applyFont="1" applyFill="1" applyBorder="1" applyAlignment="1">
      <x:alignment horizontal="center"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vertical="center"/>
    </x:xf>
    <x:xf numFmtId="200" fontId="1" fillId="0" borderId="16" xfId="0" applyNumberFormat="1" applyFont="1" applyFill="1" applyBorder="1" applyAlignment="1">
      <x:alignment vertical="center"/>
    </x:xf>
    <x:xf numFmtId="201" fontId="1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vertical="center"/>
    </x:xf>
    <x:xf numFmtId="200" fontId="1" fillId="0" borderId="17" xfId="0" applyNumberFormat="1" applyFont="1" applyFill="1" applyBorder="1" applyAlignment="1">
      <x:alignment vertical="center"/>
    </x:xf>
    <x:xf numFmtId="201" fontId="1" fillId="0" borderId="17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horizontal="center" vertical="center"/>
    </x:xf>
    <x:xf numFmtId="0" fontId="1" fillId="2" borderId="16" xfId="0" applyNumberFormat="1" applyFont="1" applyFill="1" applyBorder="1" applyAlignment="1">
      <x:alignment horizontal="center" vertical="center"/>
    </x:xf>
    <x:xf numFmtId="0" fontId="6" fillId="2" borderId="16" xfId="0" applyNumberFormat="1" applyFont="1" applyFill="1" applyBorder="1" applyAlignment="1">
      <x:alignment horizontal="center" vertical="center"/>
    </x:xf>
    <x:xf numFmtId="0" fontId="1" fillId="2" borderId="17" xfId="0" applyNumberFormat="1" applyFont="1" applyFill="1" applyBorder="1" applyAlignment="1">
      <x:alignment horizontal="center" vertical="center"/>
    </x:xf>
    <x:xf numFmtId="0" fontId="6" fillId="2" borderId="17" xfId="0" applyNumberFormat="1" applyFont="1" applyFill="1" applyBorder="1" applyAlignment="1">
      <x:alignment horizontal="center" vertical="center"/>
    </x:xf>
    <x:xf numFmtId="0" fontId="1" fillId="2" borderId="18" xfId="0" applyNumberFormat="1" applyFont="1" applyFill="1" applyBorder="1" applyAlignment="1">
      <x:alignment horizontal="center" vertical="center"/>
    </x:xf>
    <x:xf numFmtId="0" fontId="6" fillId="2" borderId="18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8" xfId="0" applyNumberFormat="1" applyFont="1" applyFill="1" applyBorder="1" applyAlignment="1">
      <x:alignment vertical="center"/>
    </x:xf>
    <x:xf numFmtId="202" fontId="1" fillId="0" borderId="16" xfId="0" applyNumberFormat="1" applyFont="1" applyFill="1" applyBorder="1" applyAlignment="1">
      <x:alignment vertical="center"/>
    </x:xf>
    <x:xf numFmtId="202" fontId="1" fillId="0" borderId="17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center"/>
    </x:xf>
    <x:xf numFmtId="200" fontId="1" fillId="5" borderId="16" xfId="0" applyNumberFormat="1" applyFont="1" applyFill="1" applyBorder="1" applyAlignment="1">
      <x:alignment vertical="center"/>
    </x:xf>
    <x:xf numFmtId="201" fontId="1" fillId="5" borderId="16" xfId="0" applyNumberFormat="1" applyFont="1" applyFill="1" applyBorder="1" applyAlignment="1">
      <x:alignment vertical="center"/>
    </x:xf>
    <x:xf numFmtId="202" fontId="1" fillId="5" borderId="16" xfId="0" applyNumberFormat="1" applyFont="1" applyFill="1" applyBorder="1" applyAlignment="1">
      <x:alignment vertical="center"/>
    </x:xf>
    <x:xf numFmtId="0" fontId="1" fillId="5" borderId="18" xfId="0" applyNumberFormat="1" applyFont="1" applyFill="1" applyBorder="1" applyAlignment="1">
      <x:alignment vertical="center"/>
    </x:xf>
    <x:xf numFmtId="200" fontId="1" fillId="5" borderId="18" xfId="0" applyNumberFormat="1" applyFont="1" applyFill="1" applyBorder="1" applyAlignment="1">
      <x:alignment vertical="center"/>
    </x:xf>
    <x:xf numFmtId="201" fontId="1" fillId="5" borderId="18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6" xfId="0" applyNumberFormat="1" applyFont="1" applyFill="1" applyBorder="1" applyAlignment="1">
      <x:alignment vertical="center"/>
    </x:xf>
    <x:xf numFmtId="203" fontId="1" fillId="0" borderId="17" xfId="0" applyNumberFormat="1" applyFont="1" applyFill="1" applyBorder="1" applyAlignment="1">
      <x:alignment vertical="center"/>
    </x:xf>
    <x:xf numFmtId="203" fontId="1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4" fontId="1" fillId="0" borderId="16" xfId="0" applyNumberFormat="1" applyFont="1" applyFill="1" applyBorder="1" applyAlignment="1">
      <x:alignment vertical="center"/>
    </x:xf>
    <x:xf numFmtId="203" fontId="1" fillId="5" borderId="16" xfId="0" applyNumberFormat="1" applyFont="1" applyFill="1" applyBorder="1" applyAlignment="1">
      <x:alignment vertical="center"/>
    </x:xf>
    <x:xf numFmtId="205" fontId="1" fillId="0" borderId="16" xfId="0" applyNumberFormat="1" applyFont="1" applyFill="1" applyBorder="1" applyAlignment="1">
      <x:alignment vertical="center"/>
    </x:xf>
    <x:xf numFmtId="205" fontId="1" fillId="5" borderId="16" xfId="0" applyNumberFormat="1" applyFont="1" applyFill="1" applyBorder="1" applyAlignment="1">
      <x:alignment vertical="center"/>
    </x:xf>
    <x:xf numFmtId="204" fontId="1" fillId="0" borderId="17" xfId="0" applyNumberFormat="1" applyFont="1" applyFill="1" applyBorder="1" applyAlignment="1">
      <x:alignment vertical="center"/>
    </x:xf>
    <x:xf numFmtId="203" fontId="1" fillId="5" borderId="17" xfId="0" applyNumberFormat="1" applyFont="1" applyFill="1" applyBorder="1" applyAlignment="1">
      <x:alignment vertical="center"/>
    </x:xf>
    <x:xf numFmtId="205" fontId="1" fillId="0" borderId="17" xfId="0" applyNumberFormat="1" applyFont="1" applyFill="1" applyBorder="1" applyAlignment="1">
      <x:alignment vertical="center"/>
    </x:xf>
    <x:xf numFmtId="205" fontId="1" fillId="5" borderId="17" xfId="0" applyNumberFormat="1" applyFont="1" applyFill="1" applyBorder="1" applyAlignment="1">
      <x:alignment vertical="center"/>
    </x:xf>
    <x:xf numFmtId="204" fontId="1" fillId="0" borderId="18" xfId="0" applyNumberFormat="1" applyFont="1" applyFill="1" applyBorder="1" applyAlignment="1">
      <x:alignment vertical="center"/>
    </x:xf>
    <x:xf numFmtId="203" fontId="1" fillId="5" borderId="18" xfId="0" applyNumberFormat="1" applyFont="1" applyFill="1" applyBorder="1" applyAlignment="1">
      <x:alignment vertical="center"/>
    </x:xf>
    <x:xf numFmtId="205" fontId="1" fillId="0" borderId="18" xfId="0" applyNumberFormat="1" applyFont="1" applyFill="1" applyBorder="1" applyAlignment="1">
      <x:alignment vertical="center"/>
    </x:xf>
    <x:xf numFmtId="205" fontId="1" fillId="5" borderId="18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1" fillId="5" borderId="22" xfId="0" applyNumberFormat="1" applyFont="1" applyFill="1" applyBorder="1" applyAlignment="1">
      <x:alignment vertical="center" wrapText="1"/>
    </x:xf>
    <x:xf numFmtId="0" fontId="1" fillId="5" borderId="23" xfId="0" applyNumberFormat="1" applyFont="1" applyFill="1" applyBorder="1" applyAlignment="1">
      <x:alignment vertical="center" wrapText="1"/>
    </x:xf>
    <x:xf numFmtId="0" fontId="1" fillId="5" borderId="24" xfId="0" applyNumberFormat="1" applyFont="1" applyFill="1" applyBorder="1" applyAlignment="1">
      <x:alignment vertical="center" wrapText="1"/>
    </x:xf>
    <x:xf numFmtId="0" fontId="1" fillId="5" borderId="25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  <x:xf numFmtId="202" fontId="1" fillId="5" borderId="18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0500dca094c17" /><Relationship Type="http://schemas.openxmlformats.org/officeDocument/2006/relationships/theme" Target="/xl/theme/theme1.xml" Id="Rb695ed983bcd401c" /><Relationship Type="http://schemas.openxmlformats.org/officeDocument/2006/relationships/sharedStrings" Target="/xl/sharedStrings.xml" Id="R9781a3f4ca594e35" /><Relationship Type="http://schemas.openxmlformats.org/officeDocument/2006/relationships/worksheet" Target="/xl/worksheets/sheet1.xml" Id="R86febed3752f4b8d" /><Relationship Type="http://schemas.openxmlformats.org/officeDocument/2006/relationships/worksheet" Target="/xl/worksheets/sheet2.xml" Id="Rd627f92ac28946b1" /><Relationship Type="http://schemas.openxmlformats.org/officeDocument/2006/relationships/worksheet" Target="/xl/worksheets/sheet3.xml" Id="R14b91003c0f6443b" /><Relationship Type="http://schemas.openxmlformats.org/officeDocument/2006/relationships/worksheet" Target="/xl/worksheets/sheet4.xml" Id="Rffdc3440b6c840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65ad2cbcac46c7" /><Relationship Type="http://schemas.openxmlformats.org/officeDocument/2006/relationships/chart" Target="/xl/drawings/charts/chart2.xml" Id="R32fe1cbd2dc6459b" /><Relationship Type="http://schemas.openxmlformats.org/officeDocument/2006/relationships/chart" Target="/xl/drawings/charts/chart3.xml" Id="Rdeb818707bd746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Diferencia anual de temperatura media (B − A): años incluidos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 − A (°C)</c:v>
          </c:tx>
          <c:spPr>
            <a:ln xmlns:a="http://schemas.openxmlformats.org/drawingml/2006/main" w="19050">
              <a:solidFill>
                <a:srgbClr val="23858A"/>
              </a:solidFill>
              <a:prstDash val="solid"/>
            </a:ln>
          </c:spPr>
          <c:marker>
            <c:symbol val="none"/>
          </c:marker>
          <c:cat>
            <c:strRef>
              <c:f>'Diagnósticos'!$A$7:$A$49</c:f>
              <c:strCache>
                <c:ptCount val="0"/>
              </c:strCache>
            </c:strRef>
          </c:cat>
          <c:val>
            <c:numRef>
              <c:f>'Diagnósticos'!$B$7:$B$49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°C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Distribución de las diferencias anuales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Frecuencia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'Diagnósticos'!$N$7:$N$17</c:f>
              <c:strCache>
                <c:ptCount val="0"/>
              </c:strCache>
            </c:strRef>
          </c:cat>
          <c:val>
            <c:numRef>
              <c:f>'Diagnósticos'!$O$7:$O$17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Diferencia media según separación temporal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Media</c:v>
          </c:tx>
          <c:spPr>
            <a:solidFill xmlns:a="http://schemas.openxmlformats.org/drawingml/2006/main">
              <a:srgbClr val="23858A"/>
            </a:solidFill>
          </c:spPr>
          <c:cat>
            <c:strRef>
              <c:f>'Diagnósticos'!$N$41:$N$44</c:f>
              <c:strCache>
                <c:ptCount val="0"/>
              </c:strCache>
            </c:strRef>
          </c:cat>
          <c:val>
            <c:numRef>
              <c:f>'Diagnósticos'!$O$41:$O$44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 − A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65ad2cbcac46c7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fe1cbd2dc6459b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b818707bd746e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ec3f03c99f64a6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16" hidden="0" customWidth="1"/>
    <x:col min="14" max="14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Castalla: análisis estadístico de A y B sin días compartidos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Periodo 1950–2025. Se incluyen solo los 43 años en que A y B no comparten ninguna fecha. A: 1–4 de septiembre. B: último viernes de agosto y los tres días siguientes. Diferencia: B − 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6" customHeight="1">
      <x:c r="A6" s="9" t="str">
        <x:v>En los 43 años sin solapamiento, B fue significativamente más cálido que A en las cuatro variables tras la corrección de Holm. Para la temperatura media, B − A fue +1,24 °C (IC 95 % 0,51 a 1,96; p bilateral=0,0013; p Holm=0,0051). B superó a A en 28 de 43 años (65,1 %). Bootstrap, permutación, Wilcoxon y HAC sostienen la diferencia; la prueba de signos, que ignora su magnitud, dio p=0,0660.</x:v>
      </x:c>
      <x:c r="B6" s="10"/>
      <x:c r="C6" s="10"/>
      <x:c r="D6" s="10"/>
      <x:c r="E6" s="10"/>
      <x:c r="F6" s="10"/>
      <x:c r="G6" s="10"/>
      <x:c r="H6" s="10"/>
      <x:c r="I6" s="10"/>
      <x:c r="J6" s="11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6" customHeight="1">
      <x:c r="A7" s="12"/>
      <x:c r="B7" s="8"/>
      <x:c r="C7" s="8"/>
      <x:c r="D7" s="8"/>
      <x:c r="E7" s="8"/>
      <x:c r="F7" s="8"/>
      <x:c r="G7" s="8"/>
      <x:c r="H7" s="8"/>
      <x:c r="I7" s="8"/>
      <x:c r="J7" s="13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6" customHeight="1">
      <x:c r="A8" s="12"/>
      <x:c r="B8" s="8"/>
      <x:c r="C8" s="8"/>
      <x:c r="D8" s="8"/>
      <x:c r="E8" s="8"/>
      <x:c r="F8" s="8"/>
      <x:c r="G8" s="8"/>
      <x:c r="H8" s="8"/>
      <x:c r="I8" s="8"/>
      <x:c r="J8" s="13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6" customHeight="1">
      <x:c r="A9" s="14"/>
      <x:c r="B9" s="15"/>
      <x:c r="C9" s="15"/>
      <x:c r="D9" s="15"/>
      <x:c r="E9" s="15"/>
      <x:c r="F9" s="15"/>
      <x:c r="G9" s="15"/>
      <x:c r="H9" s="15"/>
      <x:c r="I9" s="15"/>
      <x:c r="J9" s="16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9" t="str">
        <x:v>Resultados inferenciales de las variables continuas</x:v>
      </x:c>
      <x:c r="B11" s="20"/>
      <x:c r="C11" s="20"/>
      <x:c r="D11" s="20"/>
      <x:c r="E11" s="20"/>
      <x:c r="F11" s="20"/>
      <x:c r="G11" s="20"/>
      <x:c r="H11" s="20"/>
      <x:c r="I11" s="20"/>
      <x:c r="J11" s="2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2" customHeight="1">
      <x:c r="A12" s="26" t="str">
        <x:v>Variable</x:v>
      </x:c>
      <x:c r="B12" s="27" t="str">
        <x:v>Media A (°C)</x:v>
      </x:c>
      <x:c r="C12" s="27" t="str">
        <x:v>Media B (°C)</x:v>
      </x:c>
      <x:c r="D12" s="27" t="str">
        <x:v>B − A (°C)</x:v>
      </x:c>
      <x:c r="E12" s="27" t="str">
        <x:v>IC 95 % inferior</x:v>
      </x:c>
      <x:c r="F12" s="27" t="str">
        <x:v>IC 95 % superior</x:v>
      </x:c>
      <x:c r="G12" s="27" t="str">
        <x:v>p bilateral</x:v>
      </x:c>
      <x:c r="H12" s="27" t="str">
        <x:v>p Holm</x:v>
      </x:c>
      <x:c r="I12" s="27" t="str">
        <x:v>dᶻ</x:v>
      </x:c>
      <x:c r="J12" s="28" t="str">
        <x:v>Conclusión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2" customHeight="1">
      <x:c r="A13" s="32" t="str">
        <x:v>Temperatura media del intervalo</x:v>
      </x:c>
      <x:c r="B13" s="33" t="n">
        <x:v>21.98703972868217</x:v>
      </x:c>
      <x:c r="C13" s="33" t="n">
        <x:v>23.223062015503878</x:v>
      </x:c>
      <x:c r="D13" s="33" t="n">
        <x:v>1.2360222868217057</x:v>
      </x:c>
      <x:c r="E13" s="33" t="n">
        <x:v>0.5144743599495492</x:v>
      </x:c>
      <x:c r="F13" s="33" t="n">
        <x:v>1.9575702136938622</x:v>
      </x:c>
      <x:c r="G13" s="34" t="n">
        <x:v>0.0012634726699818138</x:v>
      </x:c>
      <x:c r="H13" s="34" t="n">
        <x:v>0.005053890679927255</x:v>
      </x:c>
      <x:c r="I13" s="33" t="n">
        <x:v>0.5271881447918857</x:v>
      </x:c>
      <x:c r="J13" s="45" t="str">
        <x:v>B superior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2" customHeight="1">
      <x:c r="A14" s="36" t="str">
        <x:v>Máxima diurna del intervalo</x:v>
      </x:c>
      <x:c r="B14" s="37" t="n">
        <x:v>29.346511627906978</x:v>
      </x:c>
      <x:c r="C14" s="37" t="n">
        <x:v>31.311627906976742</x:v>
      </x:c>
      <x:c r="D14" s="37" t="n">
        <x:v>1.965116279069768</x:v>
      </x:c>
      <x:c r="E14" s="37" t="n">
        <x:v>0.8026719069668071</x:v>
      </x:c>
      <x:c r="F14" s="37" t="n">
        <x:v>3.127560651172729</x:v>
      </x:c>
      <x:c r="G14" s="38" t="n">
        <x:v>0.0014396631518286916</x:v>
      </x:c>
      <x:c r="H14" s="38" t="n">
        <x:v>0.005053890679927255</x:v>
      </x:c>
      <x:c r="I14" s="37" t="n">
        <x:v>0.5202601851843089</x:v>
      </x:c>
      <x:c r="J14" s="47" t="str">
        <x:v>B superior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2" customHeight="1">
      <x:c r="A15" s="36" t="str">
        <x:v>Mínima nocturna del intervalo</x:v>
      </x:c>
      <x:c r="B15" s="37" t="n">
        <x:v>15.944186046511625</x:v>
      </x:c>
      <x:c r="C15" s="37" t="n">
        <x:v>17.11860465116279</x:v>
      </x:c>
      <x:c r="D15" s="37" t="n">
        <x:v>1.1744186046511629</x:v>
      </x:c>
      <x:c r="E15" s="37" t="n">
        <x:v>0.4724023147368729</x:v>
      </x:c>
      <x:c r="F15" s="37" t="n">
        <x:v>1.876434894565453</x:v>
      </x:c>
      <x:c r="G15" s="38" t="n">
        <x:v>0.0015933364787341037</x:v>
      </x:c>
      <x:c r="H15" s="38" t="n">
        <x:v>0.005053890679927255</x:v>
      </x:c>
      <x:c r="I15" s="37" t="n">
        <x:v>0.5148494460101771</x:v>
      </x:c>
      <x:c r="J15" s="47" t="str">
        <x:v>B superior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2" customHeight="1">
      <x:c r="A16" s="40" t="str">
        <x:v>Temperatura aparente media</x:v>
      </x:c>
      <x:c r="B16" s="41" t="n">
        <x:v>22.624806201550385</x:v>
      </x:c>
      <x:c r="C16" s="41" t="n">
        <x:v>23.85813953488372</x:v>
      </x:c>
      <x:c r="D16" s="41" t="n">
        <x:v>1.2333333333333334</x:v>
      </x:c>
      <x:c r="E16" s="41" t="n">
        <x:v>0.45700846793710725</x:v>
      </x:c>
      <x:c r="F16" s="41" t="n">
        <x:v>2.0096581987295594</x:v>
      </x:c>
      <x:c r="G16" s="42" t="n">
        <x:v>0.0025728386633213137</x:v>
      </x:c>
      <x:c r="H16" s="42" t="n">
        <x:v>0.005053890679927255</x:v>
      </x:c>
      <x:c r="I16" s="41" t="n">
        <x:v>0.4889241503501118</x:v>
      </x:c>
      <x:c r="J16" s="49" t="str">
        <x:v>B superior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2" customHeight="1">
      <x:c r="A19" s="19" t="str">
        <x:v>Robustez de la temperatura media</x:v>
      </x:c>
      <x:c r="B19" s="20"/>
      <x:c r="C19" s="20"/>
      <x:c r="D19" s="20"/>
      <x:c r="E19" s="20"/>
      <x:c r="F19" s="21"/>
      <x:c r="G19" s="2"/>
      <x:c r="H19" s="19" t="str">
        <x:v>Estratificación por separación temporal</x:v>
      </x:c>
      <x:c r="I19" s="20"/>
      <x:c r="J19" s="20"/>
      <x:c r="K19" s="20"/>
      <x:c r="L19" s="20"/>
      <x:c r="M19" s="20"/>
      <x:c r="N19" s="21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2" customHeight="1">
      <x:c r="A20" s="26" t="str">
        <x:v>Método</x:v>
      </x:c>
      <x:c r="B20" s="27" t="str">
        <x:v>Estimación</x:v>
      </x:c>
      <x:c r="C20" s="27" t="str">
        <x:v>IC 95 % inferior</x:v>
      </x:c>
      <x:c r="D20" s="27" t="str">
        <x:v>IC 95 % superior</x:v>
      </x:c>
      <x:c r="E20" s="27" t="str">
        <x:v>p bilateral</x:v>
      </x:c>
      <x:c r="F20" s="28" t="str">
        <x:v>Lectura</x:v>
      </x:c>
      <x:c r="G20" s="2"/>
      <x:c r="H20" s="26" t="str">
        <x:v>Separación (días)</x:v>
      </x:c>
      <x:c r="I20" s="27" t="str">
        <x:v>n</x:v>
      </x:c>
      <x:c r="J20" s="27" t="str">
        <x:v>B − A (°C)</x:v>
      </x:c>
      <x:c r="K20" s="27" t="str">
        <x:v>IC inferior</x:v>
      </x:c>
      <x:c r="L20" s="27" t="str">
        <x:v>IC superior</x:v>
      </x:c>
      <x:c r="M20" s="27" t="str">
        <x:v>p bilateral</x:v>
      </x:c>
      <x:c r="N20" s="28" t="str">
        <x:v>% años B&gt;A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2" customHeight="1">
      <x:c r="A21" s="32" t="str">
        <x:v>t emparejada</x:v>
      </x:c>
      <x:c r="B21" s="33" t="n">
        <x:v>1.2360222868217057</x:v>
      </x:c>
      <x:c r="C21" s="33" t="n">
        <x:v>0.5144743599495492</x:v>
      </x:c>
      <x:c r="D21" s="33" t="n">
        <x:v>1.9575702136938622</x:v>
      </x:c>
      <x:c r="E21" s="34" t="n">
        <x:v>0.0012634726699818138</x:v>
      </x:c>
      <x:c r="F21" s="32" t="str">
        <x:v>Media B − A</x:v>
      </x:c>
      <x:c r="G21" s="2"/>
      <x:c r="H21" s="32" t="n">
        <x:v>4</x:v>
      </x:c>
      <x:c r="I21" s="32" t="n">
        <x:v>11</x:v>
      </x:c>
      <x:c r="J21" s="33" t="n">
        <x:v>0.2959280303030302</x:v>
      </x:c>
      <x:c r="K21" s="33" t="n">
        <x:v>-1.0598101418995411</x:v>
      </x:c>
      <x:c r="L21" s="33" t="n">
        <x:v>1.6516662025056017</x:v>
      </x:c>
      <x:c r="M21" s="34" t="n">
        <x:v>0.6371982652535843</x:v>
      </x:c>
      <x:c r="N21" s="52" t="n">
        <x:v>0.45454545454545453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2" customHeight="1">
      <x:c r="A22" s="36" t="str">
        <x:v>Bootstrap BCa</x:v>
      </x:c>
      <x:c r="B22" s="37" t="n">
        <x:v>1.2360222868217057</x:v>
      </x:c>
      <x:c r="C22" s="37" t="n">
        <x:v>0.5504736099000939</x:v>
      </x:c>
      <x:c r="D22" s="37" t="n">
        <x:v>1.929757762729931</x:v>
      </x:c>
      <x:c r="E22" s="38"/>
      <x:c r="F22" s="36" t="str">
        <x:v>100.000 remuestreos</x:v>
      </x:c>
      <x:c r="G22" s="2"/>
      <x:c r="H22" s="36" t="n">
        <x:v>5</x:v>
      </x:c>
      <x:c r="I22" s="36" t="n">
        <x:v>10</x:v>
      </x:c>
      <x:c r="J22" s="37" t="n">
        <x:v>1.7459375000000001</x:v>
      </x:c>
      <x:c r="K22" s="37" t="n">
        <x:v>-0.21859702359735933</x:v>
      </x:c>
      <x:c r="L22" s="37" t="n">
        <x:v>3.71047202359736</x:v>
      </x:c>
      <x:c r="M22" s="38" t="n">
        <x:v>0.07527420041410508</x:v>
      </x:c>
      <x:c r="N22" s="53" t="n">
        <x:v>0.7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2" customHeight="1">
      <x:c r="A23" s="36" t="str">
        <x:v>Permutación de signos</x:v>
      </x:c>
      <x:c r="B23" s="37" t="n">
        <x:v>1.2360222868217057</x:v>
      </x:c>
      <x:c r="C23" s="37"/>
      <x:c r="D23" s="37"/>
      <x:c r="E23" s="38" t="n">
        <x:v>0.001340998659001341</x:v>
      </x:c>
      <x:c r="F23" s="36" t="str">
        <x:v>1.000.000 permutaciones</x:v>
      </x:c>
      <x:c r="G23" s="2"/>
      <x:c r="H23" s="36" t="n">
        <x:v>6</x:v>
      </x:c>
      <x:c r="I23" s="36" t="n">
        <x:v>11</x:v>
      </x:c>
      <x:c r="J23" s="37" t="n">
        <x:v>0.8329545454545463</x:v>
      </x:c>
      <x:c r="K23" s="37" t="n">
        <x:v>-0.37075741813046126</x:v>
      </x:c>
      <x:c r="L23" s="37" t="n">
        <x:v>2.036666509039554</x:v>
      </x:c>
      <x:c r="M23" s="38" t="n">
        <x:v>0.15413793809072723</x:v>
      </x:c>
      <x:c r="N23" s="53" t="n">
        <x:v>0.7272727272727273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2" customHeight="1">
      <x:c r="A24" s="36" t="str">
        <x:v>HAC / Newey–West</x:v>
      </x:c>
      <x:c r="B24" s="37" t="n">
        <x:v>1.2360222868217055</x:v>
      </x:c>
      <x:c r="C24" s="37" t="n">
        <x:v>0.6764519105507937</x:v>
      </x:c>
      <x:c r="D24" s="37" t="n">
        <x:v>1.7955926630926173</x:v>
      </x:c>
      <x:c r="E24" s="38" t="n">
        <x:v>0.00006060066529218315</x:v>
      </x:c>
      <x:c r="F24" s="36" t="str">
        <x:v>3 rezagos de observaciones retenidas</x:v>
      </x:c>
      <x:c r="G24" s="2"/>
      <x:c r="H24" s="40" t="n">
        <x:v>7</x:v>
      </x:c>
      <x:c r="I24" s="40" t="n">
        <x:v>11</x:v>
      </x:c>
      <x:c r="J24" s="41" t="n">
        <x:v>2.1156249999999996</x:v>
      </x:c>
      <x:c r="K24" s="41" t="n">
        <x:v>0.36959699705723326</x:v>
      </x:c>
      <x:c r="L24" s="41" t="n">
        <x:v>3.861653002942766</x:v>
      </x:c>
      <x:c r="M24" s="42" t="n">
        <x:v>0.022321469043446056</x:v>
      </x:c>
      <x:c r="N24" s="51" t="n">
        <x:v>0.7272727272727273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2" customHeight="1">
      <x:c r="A25" s="36" t="str">
        <x:v>Bootstrap por bloques</x:v>
      </x:c>
      <x:c r="B25" s="37" t="n">
        <x:v>1.2360222868217057</x:v>
      </x:c>
      <x:c r="C25" s="37" t="n">
        <x:v>0.6710992005813954</x:v>
      </x:c>
      <x:c r="D25" s="37" t="n">
        <x:v>1.810127180232558</x:v>
      </x:c>
      <x:c r="E25" s="38"/>
      <x:c r="F25" s="36" t="str">
        <x:v>Bloques circulares de 5 observaciones</x:v>
      </x:c>
      <x:c r="G25" s="2"/>
      <x:c r="H25" s="2"/>
      <x:c r="I25" s="2"/>
      <x:c r="J25" s="29"/>
      <x:c r="K25" s="29"/>
      <x:c r="L25" s="29"/>
      <x:c r="M25" s="30"/>
      <x:c r="N25" s="50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2" customHeight="1">
      <x:c r="A26" s="36" t="str">
        <x:v>Wilcoxon emparejada</x:v>
      </x:c>
      <x:c r="B26" s="37" t="n">
        <x:v>1.2114583333333329</x:v>
      </x:c>
      <x:c r="C26" s="37"/>
      <x:c r="D26" s="37"/>
      <x:c r="E26" s="38" t="n">
        <x:v>0.0032916997956817795</x:v>
      </x:c>
      <x:c r="F26" s="36" t="str">
        <x:v>Pseudomediana de Walsh</x:v>
      </x:c>
      <x:c r="G26" s="2"/>
      <x:c r="H26" s="58" t="str">
        <x:v>Todos</x:v>
      </x:c>
      <x:c r="I26" s="58" t="n">
        <x:v>43</x:v>
      </x:c>
      <x:c r="J26" s="59" t="n">
        <x:v>1.2360222868217057</x:v>
      </x:c>
      <x:c r="K26" s="59" t="n">
        <x:v>0.5144743599495492</x:v>
      </x:c>
      <x:c r="L26" s="59" t="n">
        <x:v>1.9575702136938622</x:v>
      </x:c>
      <x:c r="M26" s="60" t="n">
        <x:v>0.0012634726699818138</x:v>
      </x:c>
      <x:c r="N26" s="61" t="n">
        <x:v>0.6511627906976745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2" customHeight="1">
      <x:c r="A27" s="40" t="str">
        <x:v>Prueba de los signos</x:v>
      </x:c>
      <x:c r="B27" s="51" t="n">
        <x:v>0.6511627906976745</x:v>
      </x:c>
      <x:c r="C27" s="40"/>
      <x:c r="D27" s="40"/>
      <x:c r="E27" s="42" t="n">
        <x:v>0.0659940344557981</x:v>
      </x:c>
      <x:c r="F27" s="40" t="str">
        <x:v>28 años B&gt;A; 15 años B&lt;A</x:v>
      </x:c>
      <x:c r="G27" s="2"/>
      <x:c r="H27" s="62" t="str">
        <x:v>Efecto por día (HAC)</x:v>
      </x:c>
      <x:c r="I27" s="62"/>
      <x:c r="J27" s="63" t="n">
        <x:v>0.4591349662561112</x:v>
      </x:c>
      <x:c r="K27" s="63" t="n">
        <x:v>0.008606014566388487</x:v>
      </x:c>
      <x:c r="L27" s="63" t="n">
        <x:v>0.9096639179458339</x:v>
      </x:c>
      <x:c r="M27" s="64" t="n">
        <x:v>0.045977794598157054</x:v>
      </x:c>
      <x:c r="N27" s="111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2" customHeight="1">
      <x:c r="A30" s="19" t="str">
        <x:v>Superación de umbrales de Tmax: análisis pareado de McNemar</x:v>
      </x:c>
      <x:c r="B30" s="20"/>
      <x:c r="C30" s="20"/>
      <x:c r="D30" s="20"/>
      <x:c r="E30" s="20"/>
      <x:c r="F30" s="20"/>
      <x:c r="G30" s="20"/>
      <x:c r="H30" s="20"/>
      <x:c r="I30" s="21"/>
      <x:c r="J30" s="2"/>
      <x:c r="K30" s="19" t="str">
        <x:v>Dependencia temporal</x:v>
      </x:c>
      <x:c r="L30" s="20"/>
      <x:c r="M30" s="20"/>
      <x:c r="N30" s="21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2" customHeight="1">
      <x:c r="A31" s="26" t="str">
        <x:v>Umbral</x:v>
      </x:c>
      <x:c r="B31" s="27" t="str">
        <x:v>Riesgo A</x:v>
      </x:c>
      <x:c r="C31" s="27" t="str">
        <x:v>Riesgo B</x:v>
      </x:c>
      <x:c r="D31" s="27" t="str">
        <x:v>Diferencia</x:v>
      </x:c>
      <x:c r="E31" s="27" t="str">
        <x:v>IC inferior</x:v>
      </x:c>
      <x:c r="F31" s="27" t="str">
        <x:v>IC superior</x:v>
      </x:c>
      <x:c r="G31" s="27" t="str">
        <x:v>B solo</x:v>
      </x:c>
      <x:c r="H31" s="27" t="str">
        <x:v>A solo</x:v>
      </x:c>
      <x:c r="I31" s="28" t="str">
        <x:v>p Holm</x:v>
      </x:c>
      <x:c r="J31" s="2"/>
      <x:c r="K31" s="26" t="str">
        <x:v>Indicador</x:v>
      </x:c>
      <x:c r="L31" s="27" t="str">
        <x:v>Estimación</x:v>
      </x:c>
      <x:c r="M31" s="28" t="str">
        <x:v>p bilateral</x:v>
      </x:c>
      <x:c r="N31" s="70" t="str">
        <x:v>Lectura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2" customHeight="1">
      <x:c r="A32" s="32" t="str">
        <x:v>&gt;30 °C</x:v>
      </x:c>
      <x:c r="B32" s="52" t="n">
        <x:v>0.32558139534883723</x:v>
      </x:c>
      <x:c r="C32" s="52" t="n">
        <x:v>0.6046511627906976</x:v>
      </x:c>
      <x:c r="D32" s="52" t="n">
        <x:v>0.27906976744186046</x:v>
      </x:c>
      <x:c r="E32" s="52" t="n">
        <x:v>0.06976744186046512</x:v>
      </x:c>
      <x:c r="F32" s="52" t="n">
        <x:v>0.46511627906976744</x:v>
      </x:c>
      <x:c r="G32" s="86" t="n">
        <x:v>17</x:v>
      </x:c>
      <x:c r="H32" s="86" t="n">
        <x:v>5</x:v>
      </x:c>
      <x:c r="I32" s="34" t="n">
        <x:v>0.03380107879638672</x:v>
      </x:c>
      <x:c r="J32" s="2"/>
      <x:c r="K32" s="32" t="str">
        <x:v>Tendencia por década</x:v>
      </x:c>
      <x:c r="L32" s="66" t="n">
        <x:v>0.060458506116267324</x:v>
      </x:c>
      <x:c r="M32" s="34" t="n">
        <x:v>0.6186318037573728</x:v>
      </x:c>
      <x:c r="N32" s="70" t="str">
        <x:v>HAC; sin tendencia concluyente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2" customHeight="1">
      <x:c r="A33" s="36" t="str">
        <x:v>&gt;32 °C</x:v>
      </x:c>
      <x:c r="B33" s="53" t="n">
        <x:v>0.13953488372093023</x:v>
      </x:c>
      <x:c r="C33" s="53" t="n">
        <x:v>0.4418604651162791</x:v>
      </x:c>
      <x:c r="D33" s="53" t="n">
        <x:v>0.3023255813953488</x:v>
      </x:c>
      <x:c r="E33" s="53" t="n">
        <x:v>0.11627906976744186</x:v>
      </x:c>
      <x:c r="F33" s="53" t="n">
        <x:v>0.4883720930232558</x:v>
      </x:c>
      <x:c r="G33" s="90" t="n">
        <x:v>16</x:v>
      </x:c>
      <x:c r="H33" s="90" t="n">
        <x:v>3</x:v>
      </x:c>
      <x:c r="I33" s="38" t="n">
        <x:v>0.013275146484375</x:v>
      </x:c>
      <x:c r="J33" s="2"/>
      <x:c r="K33" s="36" t="str">
        <x:v>ACF(1)</x:v>
      </x:c>
      <x:c r="L33" s="67" t="n">
        <x:v>-0.06385211643664948</x:v>
      </x:c>
      <x:c r="M33" s="38"/>
      <x:c r="N33" s="70" t="str">
        <x:v>Subserie retenida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2" customHeight="1">
      <x:c r="A34" s="40" t="str">
        <x:v>&gt;35 °C</x:v>
      </x:c>
      <x:c r="B34" s="51" t="n">
        <x:v>0.023255813953488372</x:v>
      </x:c>
      <x:c r="C34" s="51" t="n">
        <x:v>0.06976744186046512</x:v>
      </x:c>
      <x:c r="D34" s="51" t="n">
        <x:v>0.046511627906976744</x:v>
      </x:c>
      <x:c r="E34" s="51" t="n">
        <x:v>-0.046511627906976744</x:v>
      </x:c>
      <x:c r="F34" s="51" t="n">
        <x:v>0.13953488372093023</x:v>
      </x:c>
      <x:c r="G34" s="94" t="n">
        <x:v>3</x:v>
      </x:c>
      <x:c r="H34" s="94" t="n">
        <x:v>1</x:v>
      </x:c>
      <x:c r="I34" s="42" t="n">
        <x:v>0.625</x:v>
      </x:c>
      <x:c r="J34" s="2"/>
      <x:c r="K34" s="36" t="str">
        <x:v>Ljung–Box Q(10)</x:v>
      </x:c>
      <x:c r="L34" s="67" t="n">
        <x:v>12.124687010843704</x:v>
      </x:c>
      <x:c r="M34" s="38" t="n">
        <x:v>0.2767983574424005</x:v>
      </x:c>
      <x:c r="N34" s="70" t="str">
        <x:v>Subserie retenida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40" t="str">
        <x:v>Media ajustada</x:v>
      </x:c>
      <x:c r="L35" s="68" t="n">
        <x:v>1.2360222868217052</x:v>
      </x:c>
      <x:c r="M35" s="42" t="n">
        <x:v>0.00009949934485149822</x:v>
      </x:c>
      <x:c r="N35" s="70" t="str">
        <x:v>Año y separación centrados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 t="str">
        <x:v>Efecto por día de separación</x:v>
      </x:c>
      <x:c r="L36" s="65" t="n">
        <x:v>0.4591349662561112</x:v>
      </x:c>
      <x:c r="M36" s="30" t="n">
        <x:v>0.045977794598157054</x:v>
      </x:c>
      <x:c r="N36" s="70" t="str">
        <x:v>Exploratorio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4" customHeight="1">
      <x:c r="A37" s="71" t="str">
        <x:v>Interpretación</x:v>
      </x:c>
      <x:c r="B37" s="72" t="str">
        <x:v>Al eliminar todos los años con fechas compartidas, la diferencia de temperatura media aumenta de +0,72 °C en la serie completa a +1,24 °C. Esto confirma que el solapamiento comprimía el contraste. La diferencia no fue uniforme: B fue superior en 28 de 43 años. La comparación describe estos intervalos y no demuestra una causa meteorológica.</x:v>
      </x:c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3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4" customHeight="1">
      <x:c r="A38" s="74" t="str">
        <x:v>Multiplicidad</x:v>
      </x:c>
      <x:c r="B38" s="70" t="str">
        <x:v>Las cuatro variables continuas se corrigieron conjuntamente mediante Holm. Los tres umbrales de Tmax constituyen una familia secundaria separada.</x:v>
      </x:c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5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4" customHeight="1">
      <x:c r="A39" s="76" t="str">
        <x:v>Criterio principal</x:v>
      </x:c>
      <x:c r="B39" s="77" t="str">
        <x:v>Filtro calendario: intersección A ∩ B vacía. Contraste bilateral e IC 95 %, porque la hipótesis se formalizó después de inspeccionar los resúmenes descriptivos.</x:v>
      </x:c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8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6:J9"/>
    <x:mergeCell ref="B37:N37"/>
    <x:mergeCell ref="B38:N38"/>
    <x:mergeCell ref="B39:N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7A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3" hidden="0" customWidth="1"/>
    <x:col min="14" max="14" width="25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Diagnósticos: años sin solapamiento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Temperatura media del intervalo. Diferencia anual B − A. Solo años con 0 días compartidos; los rezagos se refieren al orden de las observaciones retenidas.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9" t="str">
        <x:v>Serie anual seleccionada</x:v>
      </x:c>
      <x:c r="B5" s="2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9" t="str">
        <x:v>Distribución</x:v>
      </x:c>
      <x:c r="O5" s="21"/>
      <x:c r="P5" s="2"/>
      <x:c r="Q5" s="19" t="str">
        <x:v>Autocorrelación</x:v>
      </x:c>
      <x:c r="R5" s="21"/>
      <x:c r="S5" s="2"/>
      <x:c r="T5" s="2"/>
      <x:c r="U5" s="2"/>
      <x:c r="V5" s="2"/>
      <x:c r="W5" s="2"/>
      <x:c r="X5" s="2"/>
      <x:c r="Y5" s="2"/>
      <x:c r="Z5" s="2"/>
    </x:row>
    <x:row r="6">
      <x:c r="A6" s="26" t="str">
        <x:v>Año</x:v>
      </x:c>
      <x:c r="B6" s="28" t="str">
        <x:v>B − A (°C)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6" t="str">
        <x:v>Intervalo (°C)</x:v>
      </x:c>
      <x:c r="O6" s="28" t="str">
        <x:v>Frecuencia</x:v>
      </x:c>
      <x:c r="P6" s="2"/>
      <x:c r="Q6" s="26" t="str">
        <x:v>Indicador</x:v>
      </x:c>
      <x:c r="R6" s="28" t="str">
        <x:v>Resultado</x:v>
      </x:c>
      <x:c r="S6" s="2"/>
      <x:c r="T6" s="2"/>
      <x:c r="U6" s="2"/>
      <x:c r="V6" s="2"/>
      <x:c r="W6" s="2"/>
      <x:c r="X6" s="2"/>
      <x:c r="Y6" s="2"/>
      <x:c r="Z6" s="2"/>
    </x:row>
    <x:row r="7">
      <x:c r="A7" s="32" t="n">
        <x:v>1950</x:v>
      </x:c>
      <x:c r="B7" s="66" t="n">
        <x:v>3.678124999999998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32" t="str">
        <x:v>-4.5 a -3.5</x:v>
      </x:c>
      <x:c r="O7" s="86" t="n">
        <x:v>0</x:v>
      </x:c>
      <x:c r="P7" s="2"/>
      <x:c r="Q7" s="32" t="str">
        <x:v>ACF(1)</x:v>
      </x:c>
      <x:c r="R7" s="34" t="n">
        <x:v>-0.06385211643664948</x:v>
      </x:c>
      <x:c r="S7" s="2"/>
      <x:c r="T7" s="2"/>
      <x:c r="U7" s="2"/>
      <x:c r="V7" s="2"/>
      <x:c r="W7" s="2"/>
      <x:c r="X7" s="2"/>
      <x:c r="Y7" s="2"/>
      <x:c r="Z7" s="2"/>
    </x:row>
    <x:row r="8">
      <x:c r="A8" s="36" t="n">
        <x:v>1953</x:v>
      </x:c>
      <x:c r="B8" s="67" t="n">
        <x:v>1.015625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36" t="str">
        <x:v>-3.5 a -2.5</x:v>
      </x:c>
      <x:c r="O8" s="90" t="n">
        <x:v>1</x:v>
      </x:c>
      <x:c r="P8" s="2"/>
      <x:c r="Q8" s="36" t="str">
        <x:v>Ljung–Box Q(10)</x:v>
      </x:c>
      <x:c r="R8" s="38" t="n">
        <x:v>12.124687010843704</x:v>
      </x:c>
      <x:c r="S8" s="2"/>
      <x:c r="T8" s="2"/>
      <x:c r="U8" s="2"/>
      <x:c r="V8" s="2"/>
      <x:c r="W8" s="2"/>
      <x:c r="X8" s="2"/>
      <x:c r="Y8" s="2"/>
      <x:c r="Z8" s="2"/>
    </x:row>
    <x:row r="9">
      <x:c r="A9" s="36" t="n">
        <x:v>1954</x:v>
      </x:c>
      <x:c r="B9" s="67" t="n">
        <x:v>-0.399999999999995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36" t="str">
        <x:v>-2.5 a -1.5</x:v>
      </x:c>
      <x:c r="O9" s="90" t="n">
        <x:v>6</x:v>
      </x:c>
      <x:c r="P9" s="2"/>
      <x:c r="Q9" s="40" t="str">
        <x:v>p Ljung–Box</x:v>
      </x:c>
      <x:c r="R9" s="42" t="n">
        <x:v>0.2767983574424005</x:v>
      </x:c>
      <x:c r="S9" s="2"/>
      <x:c r="T9" s="2"/>
      <x:c r="U9" s="2"/>
      <x:c r="V9" s="2"/>
      <x:c r="W9" s="2"/>
      <x:c r="X9" s="2"/>
      <x:c r="Y9" s="2"/>
      <x:c r="Z9" s="2"/>
    </x:row>
    <x:row r="10">
      <x:c r="A10" s="36" t="n">
        <x:v>1955</x:v>
      </x:c>
      <x:c r="B10" s="67" t="n">
        <x:v>0.48125000000000284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36" t="str">
        <x:v>-1.5 a -0.5</x:v>
      </x:c>
      <x:c r="O10" s="90" t="n">
        <x:v>5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6" t="n">
        <x:v>1959</x:v>
      </x:c>
      <x:c r="B11" s="67" t="n">
        <x:v>3.086458333333333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36" t="str">
        <x:v>-0.5 a 0.5</x:v>
      </x:c>
      <x:c r="O11" s="90" t="n">
        <x:v>6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6" t="n">
        <x:v>1960</x:v>
      </x:c>
      <x:c r="B12" s="67" t="n">
        <x:v>3.1854166666666686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36" t="str">
        <x:v>0.5 a 1.5</x:v>
      </x:c>
      <x:c r="O12" s="90" t="n">
        <x:v>4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6" t="n">
        <x:v>1961</x:v>
      </x:c>
      <x:c r="B13" s="67" t="n">
        <x:v>1.6343750000000021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36" t="str">
        <x:v>1.5 a 2.5</x:v>
      </x:c>
      <x:c r="O13" s="90" t="n">
        <x:v>7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6" t="n">
        <x:v>1964</x:v>
      </x:c>
      <x:c r="B14" s="67" t="n">
        <x:v>-1.8229166666666643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36" t="str">
        <x:v>2.5 a 3.5</x:v>
      </x:c>
      <x:c r="O14" s="90" t="n">
        <x:v>6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6" t="n">
        <x:v>1965</x:v>
      </x:c>
      <x:c r="B15" s="67" t="n">
        <x:v>5.939583333333335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36" t="str">
        <x:v>3.5 a 4.5</x:v>
      </x:c>
      <x:c r="O15" s="90" t="n">
        <x:v>4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6" t="n">
        <x:v>1966</x:v>
      </x:c>
      <x:c r="B16" s="67" t="n">
        <x:v>1.5833333333333321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36" t="str">
        <x:v>4.5 a 5.5</x:v>
      </x:c>
      <x:c r="O16" s="90" t="n">
        <x:v>2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6" t="n">
        <x:v>1967</x:v>
      </x:c>
      <x:c r="B17" s="67" t="n">
        <x:v>-1.7895833333333329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40" t="str">
        <x:v>5.5 a 6.5</x:v>
      </x:c>
      <x:c r="O17" s="94" t="n">
        <x:v>2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6" t="n">
        <x:v>1970</x:v>
      </x:c>
      <x:c r="B18" s="67" t="n">
        <x:v>-0.31979166666666714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6" t="n">
        <x:v>1971</x:v>
      </x:c>
      <x:c r="B19" s="67" t="n">
        <x:v>2.29270833333333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6" t="n">
        <x:v>1972</x:v>
      </x:c>
      <x:c r="B20" s="67" t="n">
        <x:v>4.548958333333331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6" t="n">
        <x:v>1976</x:v>
      </x:c>
      <x:c r="B21" s="67" t="n">
        <x:v>-0.5125000000000028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6" t="n">
        <x:v>1977</x:v>
      </x:c>
      <x:c r="B22" s="67" t="n">
        <x:v>-1.7427083333333329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6" t="n">
        <x:v>1978</x:v>
      </x:c>
      <x:c r="B23" s="67" t="n">
        <x:v>0.5645833333333314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6" t="n">
        <x:v>1981</x:v>
      </x:c>
      <x:c r="B24" s="67" t="n">
        <x:v>-0.42187500000000355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9" t="str">
        <x:v>Normalidad e influencia</x:v>
      </x:c>
      <x:c r="O24" s="20"/>
      <x:c r="P24" s="20"/>
      <x:c r="Q24" s="20"/>
      <x:c r="R24" s="21"/>
      <x:c r="S24" s="2"/>
      <x:c r="T24" s="2"/>
      <x:c r="U24" s="2"/>
      <x:c r="V24" s="2"/>
      <x:c r="W24" s="2"/>
      <x:c r="X24" s="2"/>
      <x:c r="Y24" s="2"/>
      <x:c r="Z24" s="2"/>
    </x:row>
    <x:row r="25">
      <x:c r="A25" s="36" t="n">
        <x:v>1982</x:v>
      </x:c>
      <x:c r="B25" s="67" t="n">
        <x:v>3.89479166666667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6" t="str">
        <x:v>Indicador</x:v>
      </x:c>
      <x:c r="O25" s="28" t="str">
        <x:v>Resultado</x:v>
      </x:c>
      <x:c r="P25" s="2"/>
      <x:c r="Q25" s="26" t="str">
        <x:v>Año</x:v>
      </x:c>
      <x:c r="R25" s="27" t="str">
        <x:v>B − A (°C)</x:v>
      </x:c>
      <x:c r="S25" s="27" t="str">
        <x:v>Solapamiento</x:v>
      </x:c>
      <x:c r="T25" s="28" t="str">
        <x:v>Separación</x:v>
      </x:c>
      <x:c r="U25" s="2"/>
      <x:c r="V25" s="2"/>
      <x:c r="W25" s="2"/>
      <x:c r="X25" s="2"/>
      <x:c r="Y25" s="2"/>
      <x:c r="Z25" s="2"/>
    </x:row>
    <x:row r="26">
      <x:c r="A26" s="36" t="n">
        <x:v>1983</x:v>
      </x:c>
      <x:c r="B26" s="67" t="n">
        <x:v>-1.7072916666666664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32" t="str">
        <x:v>Shapiro–Wilk W</x:v>
      </x:c>
      <x:c r="O26" s="34" t="n">
        <x:v>0.9746538674449682</x:v>
      </x:c>
      <x:c r="P26" s="2"/>
      <x:c r="Q26" s="32" t="n">
        <x:v>1965</x:v>
      </x:c>
      <x:c r="R26" s="66" t="n">
        <x:v>5.939583333333335</x:v>
      </x:c>
      <x:c r="S26" s="86" t="n">
        <x:v>0</x:v>
      </x:c>
      <x:c r="T26" s="86" t="n">
        <x:v>5</x:v>
      </x:c>
      <x:c r="U26" s="2"/>
      <x:c r="V26" s="2"/>
      <x:c r="W26" s="2"/>
      <x:c r="X26" s="2"/>
      <x:c r="Y26" s="2"/>
      <x:c r="Z26" s="2"/>
    </x:row>
    <x:row r="27">
      <x:c r="A27" s="36" t="n">
        <x:v>1987</x:v>
      </x:c>
      <x:c r="B27" s="67" t="n">
        <x:v>-1.5541666666666636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36" t="str">
        <x:v>p Shapiro–Wilk</x:v>
      </x:c>
      <x:c r="O27" s="38" t="n">
        <x:v>0.45141621995030595</x:v>
      </x:c>
      <x:c r="P27" s="2"/>
      <x:c r="Q27" s="36" t="n">
        <x:v>1989</x:v>
      </x:c>
      <x:c r="R27" s="67" t="n">
        <x:v>5.5781250000000036</x:v>
      </x:c>
      <x:c r="S27" s="90" t="n">
        <x:v>0</x:v>
      </x:c>
      <x:c r="T27" s="90" t="n">
        <x:v>7</x:v>
      </x:c>
      <x:c r="U27" s="2"/>
      <x:c r="V27" s="2"/>
      <x:c r="W27" s="2"/>
      <x:c r="X27" s="2"/>
      <x:c r="Y27" s="2"/>
      <x:c r="Z27" s="2"/>
    </x:row>
    <x:row r="28">
      <x:c r="A28" s="36" t="n">
        <x:v>1988</x:v>
      </x:c>
      <x:c r="B28" s="67" t="n">
        <x:v>1.6239583333333343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36" t="str">
        <x:v>Asimetría</x:v>
      </x:c>
      <x:c r="O28" s="38" t="n">
        <x:v>0.1133430988123939</x:v>
      </x:c>
      <x:c r="P28" s="2"/>
      <x:c r="Q28" s="36" t="n">
        <x:v>2017</x:v>
      </x:c>
      <x:c r="R28" s="67" t="n">
        <x:v>4.704166666666666</x:v>
      </x:c>
      <x:c r="S28" s="90" t="n">
        <x:v>0</x:v>
      </x:c>
      <x:c r="T28" s="90" t="n">
        <x:v>7</x:v>
      </x:c>
      <x:c r="U28" s="2"/>
      <x:c r="V28" s="2"/>
      <x:c r="W28" s="2"/>
      <x:c r="X28" s="2"/>
      <x:c r="Y28" s="2"/>
      <x:c r="Z28" s="2"/>
    </x:row>
    <x:row r="29">
      <x:c r="A29" s="36" t="n">
        <x:v>1989</x:v>
      </x:c>
      <x:c r="B29" s="67" t="n">
        <x:v>5.5781250000000036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36" t="str">
        <x:v>Curtosis excedente</x:v>
      </x:c>
      <x:c r="O29" s="38" t="n">
        <x:v>-0.9062422730057467</x:v>
      </x:c>
      <x:c r="P29" s="2"/>
      <x:c r="Q29" s="36" t="n">
        <x:v>1972</x:v>
      </x:c>
      <x:c r="R29" s="67" t="n">
        <x:v>4.548958333333331</x:v>
      </x:c>
      <x:c r="S29" s="90" t="n">
        <x:v>0</x:v>
      </x:c>
      <x:c r="T29" s="90" t="n">
        <x:v>7</x:v>
      </x:c>
      <x:c r="U29" s="2"/>
      <x:c r="V29" s="2"/>
      <x:c r="W29" s="2"/>
      <x:c r="X29" s="2"/>
      <x:c r="Y29" s="2"/>
      <x:c r="Z29" s="2"/>
    </x:row>
    <x:row r="30">
      <x:c r="A30" s="36" t="n">
        <x:v>1992</x:v>
      </x:c>
      <x:c r="B30" s="67" t="n">
        <x:v>1.6822916666666643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36" t="str">
        <x:v>Media recortada 10 % (°C)</x:v>
      </x:c>
      <x:c r="O30" s="38" t="n">
        <x:v>1.189672619047619</x:v>
      </x:c>
      <x:c r="P30" s="2"/>
      <x:c r="Q30" s="36" t="n">
        <x:v>2010</x:v>
      </x:c>
      <x:c r="R30" s="67" t="n">
        <x:v>4.21875</x:v>
      </x:c>
      <x:c r="S30" s="90" t="n">
        <x:v>0</x:v>
      </x:c>
      <x:c r="T30" s="90" t="n">
        <x:v>5</x:v>
      </x:c>
      <x:c r="U30" s="2"/>
      <x:c r="V30" s="2"/>
      <x:c r="W30" s="2"/>
      <x:c r="X30" s="2"/>
      <x:c r="Y30" s="2"/>
      <x:c r="Z30" s="2"/>
    </x:row>
    <x:row r="31">
      <x:c r="A31" s="36" t="n">
        <x:v>1993</x:v>
      </x:c>
      <x:c r="B31" s="67" t="n">
        <x:v>-3.3427083333333343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36" t="str">
        <x:v>Valores atípicos por IQR</x:v>
      </x:c>
      <x:c r="O31" s="90" t="n">
        <x:v>0</x:v>
      </x:c>
      <x:c r="P31" s="2"/>
      <x:c r="Q31" s="36" t="n">
        <x:v>2023</x:v>
      </x:c>
      <x:c r="R31" s="67" t="n">
        <x:v>4.126041666666666</x:v>
      </x:c>
      <x:c r="S31" s="90" t="n">
        <x:v>0</x:v>
      </x:c>
      <x:c r="T31" s="90" t="n">
        <x:v>7</x:v>
      </x:c>
      <x:c r="U31" s="2"/>
      <x:c r="V31" s="2"/>
      <x:c r="W31" s="2"/>
      <x:c r="X31" s="2"/>
      <x:c r="Y31" s="2"/>
      <x:c r="Z31" s="2"/>
    </x:row>
    <x:row r="32">
      <x:c r="A32" s="36" t="n">
        <x:v>1994</x:v>
      </x:c>
      <x:c r="B32" s="67" t="n">
        <x:v>3.2062500000000043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36" t="str">
        <x:v>Media leave-one-out mínima</x:v>
      </x:c>
      <x:c r="O32" s="38" t="n">
        <x:v>1.1240327380952382</x:v>
      </x:c>
      <x:c r="P32" s="2"/>
      <x:c r="Q32" s="36" t="n">
        <x:v>1982</x:v>
      </x:c>
      <x:c r="R32" s="67" t="n">
        <x:v>3.89479166666667</x:v>
      </x:c>
      <x:c r="S32" s="90" t="n">
        <x:v>0</x:v>
      </x:c>
      <x:c r="T32" s="90" t="n">
        <x:v>5</x:v>
      </x:c>
      <x:c r="U32" s="2"/>
      <x:c r="V32" s="2"/>
      <x:c r="W32" s="2"/>
      <x:c r="X32" s="2"/>
      <x:c r="Y32" s="2"/>
      <x:c r="Z32" s="2"/>
    </x:row>
    <x:row r="33">
      <x:c r="A33" s="36" t="n">
        <x:v>1995</x:v>
      </x:c>
      <x:c r="B33" s="67" t="n">
        <x:v>-0.9791666666666679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40" t="str">
        <x:v>Media leave-one-out máxima</x:v>
      </x:c>
      <x:c r="O33" s="42" t="n">
        <x:v>1.3450396825396826</x:v>
      </x:c>
      <x:c r="P33" s="2"/>
      <x:c r="Q33" s="36" t="n">
        <x:v>1950</x:v>
      </x:c>
      <x:c r="R33" s="67" t="n">
        <x:v>3.678124999999998</x:v>
      </x:c>
      <x:c r="S33" s="90" t="n">
        <x:v>0</x:v>
      </x:c>
      <x:c r="T33" s="90" t="n">
        <x:v>7</x:v>
      </x:c>
      <x:c r="U33" s="2"/>
      <x:c r="V33" s="2"/>
      <x:c r="W33" s="2"/>
      <x:c r="X33" s="2"/>
      <x:c r="Y33" s="2"/>
      <x:c r="Z33" s="2"/>
    </x:row>
    <x:row r="34">
      <x:c r="A34" s="36" t="n">
        <x:v>1998</x:v>
      </x:c>
      <x:c r="B34" s="67" t="n">
        <x:v>-2.305208333333333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36" t="n">
        <x:v>2015</x:v>
      </x:c>
      <x:c r="R34" s="67" t="n">
        <x:v>3.423958333333335</x:v>
      </x:c>
      <x:c r="S34" s="90" t="n">
        <x:v>0</x:v>
      </x:c>
      <x:c r="T34" s="90" t="n">
        <x:v>4</x:v>
      </x:c>
      <x:c r="U34" s="2"/>
      <x:c r="V34" s="2"/>
      <x:c r="W34" s="2"/>
      <x:c r="X34" s="2"/>
      <x:c r="Y34" s="2"/>
      <x:c r="Z34" s="2"/>
    </x:row>
    <x:row r="35">
      <x:c r="A35" s="36" t="n">
        <x:v>1999</x:v>
      </x:c>
      <x:c r="B35" s="67" t="n">
        <x:v>1.2572916666666671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40" t="n">
        <x:v>1993</x:v>
      </x:c>
      <x:c r="R35" s="68" t="n">
        <x:v>-3.3427083333333343</x:v>
      </x:c>
      <x:c r="S35" s="94" t="n">
        <x:v>0</x:v>
      </x:c>
      <x:c r="T35" s="94" t="n">
        <x:v>5</x:v>
      </x:c>
      <x:c r="U35" s="2"/>
      <x:c r="V35" s="2"/>
      <x:c r="W35" s="2"/>
      <x:c r="X35" s="2"/>
      <x:c r="Y35" s="2"/>
      <x:c r="Z35" s="2"/>
    </x:row>
    <x:row r="36">
      <x:c r="A36" s="36" t="n">
        <x:v>2000</x:v>
      </x:c>
      <x:c r="B36" s="67" t="n">
        <x:v>2.088541666666668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6" t="n">
        <x:v>2004</x:v>
      </x:c>
      <x:c r="B37" s="67" t="n">
        <x:v>0.7854166666666664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6" t="n">
        <x:v>2005</x:v>
      </x:c>
      <x:c r="B38" s="67" t="n">
        <x:v>0.185416666666665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6" t="n">
        <x:v>2006</x:v>
      </x:c>
      <x:c r="B39" s="67" t="n">
        <x:v>-0.8822916666666671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9" t="str">
        <x:v>Separación temporal en los años sin solapamiento</x:v>
      </x:c>
      <x:c r="O39" s="20"/>
      <x:c r="P39" s="20"/>
      <x:c r="Q39" s="20"/>
      <x:c r="R39" s="20"/>
      <x:c r="S39" s="20"/>
      <x:c r="T39" s="21"/>
      <x:c r="U39" s="2"/>
      <x:c r="V39" s="2"/>
      <x:c r="W39" s="2"/>
      <x:c r="X39" s="2"/>
      <x:c r="Y39" s="2"/>
      <x:c r="Z39" s="2"/>
    </x:row>
    <x:row r="40">
      <x:c r="A40" s="36" t="n">
        <x:v>2009</x:v>
      </x:c>
      <x:c r="B40" s="67" t="n">
        <x:v>-1.3666666666666671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6" t="str">
        <x:v>Separación (días)</x:v>
      </x:c>
      <x:c r="O40" s="27" t="str">
        <x:v>Media</x:v>
      </x:c>
      <x:c r="P40" s="27" t="str">
        <x:v>n</x:v>
      </x:c>
      <x:c r="Q40" s="27" t="str">
        <x:v>IC inferior</x:v>
      </x:c>
      <x:c r="R40" s="27" t="str">
        <x:v>IC superior</x:v>
      </x:c>
      <x:c r="S40" s="27" t="str">
        <x:v>p</x:v>
      </x:c>
      <x:c r="T40" s="28" t="str">
        <x:v>% B&gt;A</x:v>
      </x:c>
      <x:c r="U40" s="2"/>
      <x:c r="V40" s="2"/>
      <x:c r="W40" s="2"/>
      <x:c r="X40" s="2"/>
      <x:c r="Y40" s="2"/>
      <x:c r="Z40" s="2"/>
    </x:row>
    <x:row r="41">
      <x:c r="A41" s="36" t="n">
        <x:v>2010</x:v>
      </x:c>
      <x:c r="B41" s="67" t="n">
        <x:v>4.21875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32" t="n">
        <x:v>4</x:v>
      </x:c>
      <x:c r="O41" s="66" t="n">
        <x:v>0.2959280303030302</x:v>
      </x:c>
      <x:c r="P41" s="86" t="n">
        <x:v>11</x:v>
      </x:c>
      <x:c r="Q41" s="66" t="n">
        <x:v>-1.0598101418995411</x:v>
      </x:c>
      <x:c r="R41" s="66" t="n">
        <x:v>1.6516662025056017</x:v>
      </x:c>
      <x:c r="S41" s="34" t="n">
        <x:v>0.6371982652535843</x:v>
      </x:c>
      <x:c r="T41" s="52" t="n">
        <x:v>0.45454545454545453</x:v>
      </x:c>
      <x:c r="U41" s="2"/>
      <x:c r="V41" s="2"/>
      <x:c r="W41" s="2"/>
      <x:c r="X41" s="2"/>
      <x:c r="Y41" s="2"/>
      <x:c r="Z41" s="2"/>
    </x:row>
    <x:row r="42">
      <x:c r="A42" s="36" t="n">
        <x:v>2011</x:v>
      </x:c>
      <x:c r="B42" s="67" t="n">
        <x:v>2.726041666666667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36" t="n">
        <x:v>5</x:v>
      </x:c>
      <x:c r="O42" s="67" t="n">
        <x:v>1.7459375000000001</x:v>
      </x:c>
      <x:c r="P42" s="90" t="n">
        <x:v>10</x:v>
      </x:c>
      <x:c r="Q42" s="67" t="n">
        <x:v>-0.21859702359735933</x:v>
      </x:c>
      <x:c r="R42" s="67" t="n">
        <x:v>3.71047202359736</x:v>
      </x:c>
      <x:c r="S42" s="38" t="n">
        <x:v>0.07527420041410508</x:v>
      </x:c>
      <x:c r="T42" s="53" t="n">
        <x:v>0.7</x:v>
      </x:c>
      <x:c r="U42" s="2"/>
      <x:c r="V42" s="2"/>
      <x:c r="W42" s="2"/>
      <x:c r="X42" s="2"/>
      <x:c r="Y42" s="2"/>
      <x:c r="Z42" s="2"/>
    </x:row>
    <x:row r="43">
      <x:c r="A43" s="36" t="n">
        <x:v>2015</x:v>
      </x:c>
      <x:c r="B43" s="67" t="n">
        <x:v>3.423958333333335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36" t="n">
        <x:v>6</x:v>
      </x:c>
      <x:c r="O43" s="67" t="n">
        <x:v>0.8329545454545463</x:v>
      </x:c>
      <x:c r="P43" s="90" t="n">
        <x:v>11</x:v>
      </x:c>
      <x:c r="Q43" s="67" t="n">
        <x:v>-0.37075741813046126</x:v>
      </x:c>
      <x:c r="R43" s="67" t="n">
        <x:v>2.036666509039554</x:v>
      </x:c>
      <x:c r="S43" s="38" t="n">
        <x:v>0.15413793809072723</x:v>
      </x:c>
      <x:c r="T43" s="53" t="n">
        <x:v>0.7272727272727273</x:v>
      </x:c>
      <x:c r="U43" s="2"/>
      <x:c r="V43" s="2"/>
      <x:c r="W43" s="2"/>
      <x:c r="X43" s="2"/>
      <x:c r="Y43" s="2"/>
      <x:c r="Z43" s="2"/>
    </x:row>
    <x:row r="44">
      <x:c r="A44" s="36" t="n">
        <x:v>2016</x:v>
      </x:c>
      <x:c r="B44" s="67" t="n">
        <x:v>0.28125000000000355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40" t="n">
        <x:v>7</x:v>
      </x:c>
      <x:c r="O44" s="68" t="n">
        <x:v>2.1156249999999996</x:v>
      </x:c>
      <x:c r="P44" s="94" t="n">
        <x:v>11</x:v>
      </x:c>
      <x:c r="Q44" s="68" t="n">
        <x:v>0.36959699705723326</x:v>
      </x:c>
      <x:c r="R44" s="68" t="n">
        <x:v>3.861653002942766</x:v>
      </x:c>
      <x:c r="S44" s="42" t="n">
        <x:v>0.022321469043446056</x:v>
      </x:c>
      <x:c r="T44" s="51" t="n">
        <x:v>0.7272727272727273</x:v>
      </x:c>
      <x:c r="U44" s="2"/>
      <x:c r="V44" s="2"/>
      <x:c r="W44" s="2"/>
      <x:c r="X44" s="2"/>
      <x:c r="Y44" s="2"/>
      <x:c r="Z44" s="2"/>
    </x:row>
    <x:row r="45">
      <x:c r="A45" s="36" t="n">
        <x:v>2017</x:v>
      </x:c>
      <x:c r="B45" s="67" t="n">
        <x:v>4.704166666666666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6" t="n">
        <x:v>2020</x:v>
      </x:c>
      <x:c r="B46" s="67" t="n">
        <x:v>1.8374999999999986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6" t="n">
        <x:v>2021</x:v>
      </x:c>
      <x:c r="B47" s="67" t="n">
        <x:v>3.326041666666665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6" t="str">
        <x:v>Modelo HAC</x:v>
      </x:c>
      <x:c r="O47" s="27" t="str">
        <x:v>Estimación</x:v>
      </x:c>
      <x:c r="P47" s="27" t="str">
        <x:v>IC inferior</x:v>
      </x:c>
      <x:c r="Q47" s="28" t="str">
        <x:v>IC superior</x:v>
      </x:c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6" t="n">
        <x:v>2022</x:v>
      </x:c>
      <x:c r="B48" s="67" t="n">
        <x:v>-0.66041666666667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32" t="str">
        <x:v>Media B − A</x:v>
      </x:c>
      <x:c r="O48" s="66" t="n">
        <x:v>1.2360222868217055</x:v>
      </x:c>
      <x:c r="P48" s="66" t="n">
        <x:v>0.6764519105507937</x:v>
      </x:c>
      <x:c r="Q48" s="66" t="n">
        <x:v>1.7955926630926173</x:v>
      </x:c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6" t="n">
        <x:v>2023</x:v>
      </x:c>
      <x:c r="B49" s="67" t="n">
        <x:v>4.126041666666666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36" t="str">
        <x:v>Tendencia por década</x:v>
      </x:c>
      <x:c r="O49" s="67" t="n">
        <x:v>0.060458506116267324</x:v>
      </x:c>
      <x:c r="P49" s="67" t="n">
        <x:v>-0.18295938720834953</x:v>
      </x:c>
      <x:c r="Q49" s="67" t="n">
        <x:v>0.3038763994408842</x:v>
      </x:c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/>
      <x:c r="B50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36" t="str">
        <x:v>Efecto por día de separación</x:v>
      </x:c>
      <x:c r="O50" s="67" t="n">
        <x:v>0.4591349662561112</x:v>
      </x:c>
      <x:c r="P50" s="67" t="n">
        <x:v>0.008606014566388487</x:v>
      </x:c>
      <x:c r="Q50" s="67" t="n">
        <x:v>0.9096639179458339</x:v>
      </x:c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/>
      <x:c r="B51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36" t="str">
        <x:v>Media ajustada</x:v>
      </x:c>
      <x:c r="O51" s="67" t="n">
        <x:v>1.2360222868217052</x:v>
      </x:c>
      <x:c r="P51" s="67" t="n">
        <x:v>0.6580710748550255</x:v>
      </x:c>
      <x:c r="Q51" s="67" t="n">
        <x:v>1.813973498788385</x:v>
      </x:c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/>
      <x:c r="B5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40" t="str">
        <x:v>t emparejada</x:v>
      </x:c>
      <x:c r="O52" s="68" t="n">
        <x:v>1.2360222868217057</x:v>
      </x:c>
      <x:c r="P52" s="68" t="n">
        <x:v>0.5144743599495492</x:v>
      </x:c>
      <x:c r="Q52" s="68" t="n">
        <x:v>1.9575702136938622</x:v>
      </x:c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/>
      <x:c r="B53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/>
      <x:c r="B54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/>
      <x:c r="B55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/>
      <x:c r="B56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/>
      <x:c r="B57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/>
      <x:c r="B58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/>
      <x:c r="B59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/>
      <x:c r="B60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/>
      <x:c r="B61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/>
      <x:c r="B6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/>
      <x:c r="B63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/>
      <x:c r="B64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/>
      <x:c r="B65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/>
      <x:c r="B66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/>
      <x:c r="B67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/>
      <x:c r="B68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/>
      <x:c r="B69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/>
      <x:c r="B70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/>
      <x:c r="B71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/>
      <x:c r="B7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/>
      <x:c r="B73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/>
      <x:c r="B74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/>
      <x:c r="B75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/>
      <x:c r="B76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/>
      <x:c r="B77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/>
      <x:c r="B78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/>
      <x:c r="B79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/>
      <x:c r="B80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/>
      <x:c r="B81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/>
      <x:c r="B8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pageMargins left="0.7" right="0.7" top="0.75" bottom="0.75" header="0.3" footer="0.3"/>
  <x:drawing xmlns:r="http://schemas.openxmlformats.org/officeDocument/2006/relationships" r:id="R9ec3f03c99f64a6f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Datos anuales utilizados: años sin solapamiento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79" t="str">
        <x:v>Fuente: Comparacion_climatologica_Castalla_A_vs_B.xlsx. ERA5-Land/Copernicus-ECMWF mediante Open-Meteo Historical Weather API. Filtro: Días solapados = 0.</x:v>
      </x:c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26" t="str">
        <x:v>Año</x:v>
      </x:c>
      <x:c r="B5" s="27" t="str">
        <x:v>Inicio A</x:v>
      </x:c>
      <x:c r="C5" s="27" t="str">
        <x:v>Inicio B</x:v>
      </x:c>
      <x:c r="D5" s="27" t="str">
        <x:v>Días solapados</x:v>
      </x:c>
      <x:c r="E5" s="27" t="str">
        <x:v>Separación (días)</x:v>
      </x:c>
      <x:c r="F5" s="27" t="str">
        <x:v>T media A</x:v>
      </x:c>
      <x:c r="G5" s="27" t="str">
        <x:v>T media B</x:v>
      </x:c>
      <x:c r="H5" s="27" t="str">
        <x:v>B − A T media</x:v>
      </x:c>
      <x:c r="I5" s="27" t="str">
        <x:v>Tmax A</x:v>
      </x:c>
      <x:c r="J5" s="27" t="str">
        <x:v>Tmax B</x:v>
      </x:c>
      <x:c r="K5" s="27" t="str">
        <x:v>B − A Tmax</x:v>
      </x:c>
      <x:c r="L5" s="27" t="str">
        <x:v>Tmin A</x:v>
      </x:c>
      <x:c r="M5" s="27" t="str">
        <x:v>Tmin B</x:v>
      </x:c>
      <x:c r="N5" s="27" t="str">
        <x:v>B − A Tmin</x:v>
      </x:c>
      <x:c r="O5" s="27" t="str">
        <x:v>T aparente A</x:v>
      </x:c>
      <x:c r="P5" s="27" t="str">
        <x:v>T aparente B</x:v>
      </x:c>
      <x:c r="Q5" s="27" t="str">
        <x:v>B − A T aparente</x:v>
      </x:c>
      <x:c r="R5" s="27" t="str">
        <x:v>&gt;30 A</x:v>
      </x:c>
      <x:c r="S5" s="27" t="str">
        <x:v>&gt;30 B</x:v>
      </x:c>
      <x:c r="T5" s="27" t="str">
        <x:v>B − A &gt;30</x:v>
      </x:c>
      <x:c r="U5" s="27" t="str">
        <x:v>&gt;32 A</x:v>
      </x:c>
      <x:c r="V5" s="27" t="str">
        <x:v>&gt;32 B</x:v>
      </x:c>
      <x:c r="W5" s="27" t="str">
        <x:v>B − A &gt;32</x:v>
      </x:c>
      <x:c r="X5" s="27" t="str">
        <x:v>&gt;35 A</x:v>
      </x:c>
      <x:c r="Y5" s="27" t="str">
        <x:v>&gt;35 B</x:v>
      </x:c>
      <x:c r="Z5" s="28" t="str">
        <x:v>B − A &gt;35</x:v>
      </x:c>
    </x:row>
    <x:row r="6" ht="19" customHeight="1">
      <x:c r="A6" s="86" t="n">
        <x:v>1950</x:v>
      </x:c>
      <x:c r="B6" s="84" t="n">
        <x:v>18507</x:v>
      </x:c>
      <x:c r="C6" s="84" t="n">
        <x:v>18500</x:v>
      </x:c>
      <x:c r="D6" s="86" t="n">
        <x:v>0</x:v>
      </x:c>
      <x:c r="E6" s="86" t="n">
        <x:v>7</x:v>
      </x:c>
      <x:c r="F6" s="66" t="n">
        <x:v>20.989583333333336</x:v>
      </x:c>
      <x:c r="G6" s="66" t="n">
        <x:v>24.667708333333334</x:v>
      </x:c>
      <x:c r="H6" s="85" t="n">
        <x:v>3.678124999999998</x:v>
      </x:c>
      <x:c r="I6" s="66" t="n">
        <x:v>30</x:v>
      </x:c>
      <x:c r="J6" s="66" t="n">
        <x:v>32.2</x:v>
      </x:c>
      <x:c r="K6" s="85" t="n">
        <x:v>2.200000000000003</x:v>
      </x:c>
      <x:c r="L6" s="66" t="n">
        <x:v>13.9</x:v>
      </x:c>
      <x:c r="M6" s="66" t="n">
        <x:v>16.3</x:v>
      </x:c>
      <x:c r="N6" s="85" t="n">
        <x:v>2.4000000000000004</x:v>
      </x:c>
      <x:c r="O6" s="66" t="n">
        <x:v>20.46666666666667</x:v>
      </x:c>
      <x:c r="P6" s="66" t="n">
        <x:v>23.79375</x:v>
      </x:c>
      <x:c r="Q6" s="85" t="n">
        <x:v>3.3270833333333307</x:v>
      </x:c>
      <x:c r="R6" s="86" t="n">
        <x:v>0</x:v>
      </x:c>
      <x:c r="S6" s="86" t="n">
        <x:v>1</x:v>
      </x:c>
      <x:c r="T6" s="87" t="n">
        <x:v>1</x:v>
      </x:c>
      <x:c r="U6" s="86" t="n">
        <x:v>0</x:v>
      </x:c>
      <x:c r="V6" s="86" t="n">
        <x:v>1</x:v>
      </x:c>
      <x:c r="W6" s="87" t="n">
        <x:v>1</x:v>
      </x:c>
      <x:c r="X6" s="86" t="n">
        <x:v>0</x:v>
      </x:c>
      <x:c r="Y6" s="86" t="n">
        <x:v>0</x:v>
      </x:c>
      <x:c r="Z6" s="87" t="n">
        <x:v>0</x:v>
      </x:c>
    </x:row>
    <x:row r="7" ht="19" customHeight="1">
      <x:c r="A7" s="90" t="n">
        <x:v>1953</x:v>
      </x:c>
      <x:c r="B7" s="88" t="n">
        <x:v>19603</x:v>
      </x:c>
      <x:c r="C7" s="88" t="n">
        <x:v>19599</x:v>
      </x:c>
      <x:c r="D7" s="90" t="n">
        <x:v>0</x:v>
      </x:c>
      <x:c r="E7" s="90" t="n">
        <x:v>4</x:v>
      </x:c>
      <x:c r="F7" s="67" t="n">
        <x:v>21.957291666666666</x:v>
      </x:c>
      <x:c r="G7" s="67" t="n">
        <x:v>22.972916666666666</x:v>
      </x:c>
      <x:c r="H7" s="89" t="n">
        <x:v>1.015625</x:v>
      </x:c>
      <x:c r="I7" s="67" t="n">
        <x:v>29.1</x:v>
      </x:c>
      <x:c r="J7" s="67" t="n">
        <x:v>29.9</x:v>
      </x:c>
      <x:c r="K7" s="89" t="n">
        <x:v>0.7999999999999972</x:v>
      </x:c>
      <x:c r="L7" s="67" t="n">
        <x:v>15.2</x:v>
      </x:c>
      <x:c r="M7" s="67" t="n">
        <x:v>15.5</x:v>
      </x:c>
      <x:c r="N7" s="89" t="n">
        <x:v>0.3000000000000007</x:v>
      </x:c>
      <x:c r="O7" s="67" t="n">
        <x:v>22.427083333333336</x:v>
      </x:c>
      <x:c r="P7" s="67" t="n">
        <x:v>23.627083333333335</x:v>
      </x:c>
      <x:c r="Q7" s="89" t="n">
        <x:v>1.1999999999999993</x:v>
      </x:c>
      <x:c r="R7" s="90" t="n">
        <x:v>0</x:v>
      </x:c>
      <x:c r="S7" s="90" t="n">
        <x:v>0</x:v>
      </x:c>
      <x:c r="T7" s="91" t="n">
        <x:v>0</x:v>
      </x:c>
      <x:c r="U7" s="90" t="n">
        <x:v>0</x:v>
      </x:c>
      <x:c r="V7" s="90" t="n">
        <x:v>0</x:v>
      </x:c>
      <x:c r="W7" s="91" t="n">
        <x:v>0</x:v>
      </x:c>
      <x:c r="X7" s="90" t="n">
        <x:v>0</x:v>
      </x:c>
      <x:c r="Y7" s="90" t="n">
        <x:v>0</x:v>
      </x:c>
      <x:c r="Z7" s="91" t="n">
        <x:v>0</x:v>
      </x:c>
    </x:row>
    <x:row r="8" ht="19" customHeight="1">
      <x:c r="A8" s="90" t="n">
        <x:v>1954</x:v>
      </x:c>
      <x:c r="B8" s="88" t="n">
        <x:v>19968</x:v>
      </x:c>
      <x:c r="C8" s="88" t="n">
        <x:v>19963</x:v>
      </x:c>
      <x:c r="D8" s="90" t="n">
        <x:v>0</x:v>
      </x:c>
      <x:c r="E8" s="90" t="n">
        <x:v>5</x:v>
      </x:c>
      <x:c r="F8" s="67" t="n">
        <x:v>21.690624999999997</x:v>
      </x:c>
      <x:c r="G8" s="67" t="n">
        <x:v>21.290625000000002</x:v>
      </x:c>
      <x:c r="H8" s="89" t="n">
        <x:v>-0.399999999999995</x:v>
      </x:c>
      <x:c r="I8" s="67" t="n">
        <x:v>29.3</x:v>
      </x:c>
      <x:c r="J8" s="67" t="n">
        <x:v>28.6</x:v>
      </x:c>
      <x:c r="K8" s="89" t="n">
        <x:v>-0.6999999999999993</x:v>
      </x:c>
      <x:c r="L8" s="67" t="n">
        <x:v>14.7</x:v>
      </x:c>
      <x:c r="M8" s="67" t="n">
        <x:v>16</x:v>
      </x:c>
      <x:c r="N8" s="89" t="n">
        <x:v>1.3000000000000007</x:v>
      </x:c>
      <x:c r="O8" s="67" t="n">
        <x:v>21.851041666666667</x:v>
      </x:c>
      <x:c r="P8" s="67" t="n">
        <x:v>21.526041666666668</x:v>
      </x:c>
      <x:c r="Q8" s="89" t="n">
        <x:v>-0.3249999999999993</x:v>
      </x:c>
      <x:c r="R8" s="90" t="n">
        <x:v>0</x:v>
      </x:c>
      <x:c r="S8" s="90" t="n">
        <x:v>0</x:v>
      </x:c>
      <x:c r="T8" s="91" t="n">
        <x:v>0</x:v>
      </x:c>
      <x:c r="U8" s="90" t="n">
        <x:v>0</x:v>
      </x:c>
      <x:c r="V8" s="90" t="n">
        <x:v>0</x:v>
      </x:c>
      <x:c r="W8" s="91" t="n">
        <x:v>0</x:v>
      </x:c>
      <x:c r="X8" s="90" t="n">
        <x:v>0</x:v>
      </x:c>
      <x:c r="Y8" s="90" t="n">
        <x:v>0</x:v>
      </x:c>
      <x:c r="Z8" s="91" t="n">
        <x:v>0</x:v>
      </x:c>
    </x:row>
    <x:row r="9" ht="19" customHeight="1">
      <x:c r="A9" s="90" t="n">
        <x:v>1955</x:v>
      </x:c>
      <x:c r="B9" s="88" t="n">
        <x:v>20333</x:v>
      </x:c>
      <x:c r="C9" s="88" t="n">
        <x:v>20327</x:v>
      </x:c>
      <x:c r="D9" s="90" t="n">
        <x:v>0</x:v>
      </x:c>
      <x:c r="E9" s="90" t="n">
        <x:v>6</x:v>
      </x:c>
      <x:c r="F9" s="67" t="n">
        <x:v>22.821875</x:v>
      </x:c>
      <x:c r="G9" s="67" t="n">
        <x:v>23.303125</x:v>
      </x:c>
      <x:c r="H9" s="89" t="n">
        <x:v>0.48125000000000284</x:v>
      </x:c>
      <x:c r="I9" s="67" t="n">
        <x:v>31.3</x:v>
      </x:c>
      <x:c r="J9" s="67" t="n">
        <x:v>31.6</x:v>
      </x:c>
      <x:c r="K9" s="89" t="n">
        <x:v>0.3000000000000007</x:v>
      </x:c>
      <x:c r="L9" s="67" t="n">
        <x:v>16.6</x:v>
      </x:c>
      <x:c r="M9" s="67" t="n">
        <x:v>18.5</x:v>
      </x:c>
      <x:c r="N9" s="89" t="n">
        <x:v>1.8999999999999986</x:v>
      </x:c>
      <x:c r="O9" s="67" t="n">
        <x:v>22.954166666666666</x:v>
      </x:c>
      <x:c r="P9" s="67" t="n">
        <x:v>23.81041666666667</x:v>
      </x:c>
      <x:c r="Q9" s="89" t="n">
        <x:v>0.8562500000000028</x:v>
      </x:c>
      <x:c r="R9" s="90" t="n">
        <x:v>1</x:v>
      </x:c>
      <x:c r="S9" s="90" t="n">
        <x:v>1</x:v>
      </x:c>
      <x:c r="T9" s="91" t="n">
        <x:v>0</x:v>
      </x:c>
      <x:c r="U9" s="90" t="n">
        <x:v>0</x:v>
      </x:c>
      <x:c r="V9" s="90" t="n">
        <x:v>0</x:v>
      </x:c>
      <x:c r="W9" s="91" t="n">
        <x:v>0</x:v>
      </x:c>
      <x:c r="X9" s="90" t="n">
        <x:v>0</x:v>
      </x:c>
      <x:c r="Y9" s="90" t="n">
        <x:v>0</x:v>
      </x:c>
      <x:c r="Z9" s="91" t="n">
        <x:v>0</x:v>
      </x:c>
    </x:row>
    <x:row r="10" ht="19" customHeight="1">
      <x:c r="A10" s="90" t="n">
        <x:v>1959</x:v>
      </x:c>
      <x:c r="B10" s="88" t="n">
        <x:v>21794</x:v>
      </x:c>
      <x:c r="C10" s="88" t="n">
        <x:v>21790</x:v>
      </x:c>
      <x:c r="D10" s="90" t="n">
        <x:v>0</x:v>
      </x:c>
      <x:c r="E10" s="90" t="n">
        <x:v>4</x:v>
      </x:c>
      <x:c r="F10" s="67" t="n">
        <x:v>20.584375</x:v>
      </x:c>
      <x:c r="G10" s="67" t="n">
        <x:v>23.670833333333334</x:v>
      </x:c>
      <x:c r="H10" s="89" t="n">
        <x:v>3.086458333333333</x:v>
      </x:c>
      <x:c r="I10" s="67" t="n">
        <x:v>27.5</x:v>
      </x:c>
      <x:c r="J10" s="67" t="n">
        <x:v>31</x:v>
      </x:c>
      <x:c r="K10" s="89" t="n">
        <x:v>3.5</x:v>
      </x:c>
      <x:c r="L10" s="67" t="n">
        <x:v>14.4</x:v>
      </x:c>
      <x:c r="M10" s="67" t="n">
        <x:v>16.8</x:v>
      </x:c>
      <x:c r="N10" s="89" t="n">
        <x:v>2.4000000000000004</x:v>
      </x:c>
      <x:c r="O10" s="67" t="n">
        <x:v>21.404166666666665</x:v>
      </x:c>
      <x:c r="P10" s="67" t="n">
        <x:v>24.137500000000003</x:v>
      </x:c>
      <x:c r="Q10" s="89" t="n">
        <x:v>2.733333333333338</x:v>
      </x:c>
      <x:c r="R10" s="90" t="n">
        <x:v>0</x:v>
      </x:c>
      <x:c r="S10" s="90" t="n">
        <x:v>1</x:v>
      </x:c>
      <x:c r="T10" s="91" t="n">
        <x:v>1</x:v>
      </x:c>
      <x:c r="U10" s="90" t="n">
        <x:v>0</x:v>
      </x:c>
      <x:c r="V10" s="90" t="n">
        <x:v>0</x:v>
      </x:c>
      <x:c r="W10" s="91" t="n">
        <x:v>0</x:v>
      </x:c>
      <x:c r="X10" s="90" t="n">
        <x:v>0</x:v>
      </x:c>
      <x:c r="Y10" s="90" t="n">
        <x:v>0</x:v>
      </x:c>
      <x:c r="Z10" s="91" t="n">
        <x:v>0</x:v>
      </x:c>
    </x:row>
    <x:row r="11" ht="19" customHeight="1">
      <x:c r="A11" s="90" t="n">
        <x:v>1960</x:v>
      </x:c>
      <x:c r="B11" s="88" t="n">
        <x:v>22160</x:v>
      </x:c>
      <x:c r="C11" s="88" t="n">
        <x:v>22154</x:v>
      </x:c>
      <x:c r="D11" s="90" t="n">
        <x:v>0</x:v>
      </x:c>
      <x:c r="E11" s="90" t="n">
        <x:v>6</x:v>
      </x:c>
      <x:c r="F11" s="67" t="n">
        <x:v>22.696875</x:v>
      </x:c>
      <x:c r="G11" s="67" t="n">
        <x:v>25.882291666666667</x:v>
      </x:c>
      <x:c r="H11" s="89" t="n">
        <x:v>3.1854166666666686</x:v>
      </x:c>
      <x:c r="I11" s="67" t="n">
        <x:v>29.7</x:v>
      </x:c>
      <x:c r="J11" s="67" t="n">
        <x:v>34.5</x:v>
      </x:c>
      <x:c r="K11" s="89" t="n">
        <x:v>4.800000000000001</x:v>
      </x:c>
      <x:c r="L11" s="67" t="n">
        <x:v>16.6</x:v>
      </x:c>
      <x:c r="M11" s="67" t="n">
        <x:v>19.8</x:v>
      </x:c>
      <x:c r="N11" s="89" t="n">
        <x:v>3.1999999999999993</x:v>
      </x:c>
      <x:c r="O11" s="67" t="n">
        <x:v>24.31041666666667</x:v>
      </x:c>
      <x:c r="P11" s="67" t="n">
        <x:v>26.5</x:v>
      </x:c>
      <x:c r="Q11" s="89" t="n">
        <x:v>2.1895833333333314</x:v>
      </x:c>
      <x:c r="R11" s="90" t="n">
        <x:v>0</x:v>
      </x:c>
      <x:c r="S11" s="90" t="n">
        <x:v>1</x:v>
      </x:c>
      <x:c r="T11" s="91" t="n">
        <x:v>1</x:v>
      </x:c>
      <x:c r="U11" s="90" t="n">
        <x:v>0</x:v>
      </x:c>
      <x:c r="V11" s="90" t="n">
        <x:v>1</x:v>
      </x:c>
      <x:c r="W11" s="91" t="n">
        <x:v>1</x:v>
      </x:c>
      <x:c r="X11" s="90" t="n">
        <x:v>0</x:v>
      </x:c>
      <x:c r="Y11" s="90" t="n">
        <x:v>0</x:v>
      </x:c>
      <x:c r="Z11" s="91" t="n">
        <x:v>0</x:v>
      </x:c>
    </x:row>
    <x:row r="12" ht="19" customHeight="1">
      <x:c r="A12" s="90" t="n">
        <x:v>1961</x:v>
      </x:c>
      <x:c r="B12" s="88" t="n">
        <x:v>22525</x:v>
      </x:c>
      <x:c r="C12" s="88" t="n">
        <x:v>22518</x:v>
      </x:c>
      <x:c r="D12" s="90" t="n">
        <x:v>0</x:v>
      </x:c>
      <x:c r="E12" s="90" t="n">
        <x:v>7</x:v>
      </x:c>
      <x:c r="F12" s="67" t="n">
        <x:v>21.134375</x:v>
      </x:c>
      <x:c r="G12" s="67" t="n">
        <x:v>22.76875</x:v>
      </x:c>
      <x:c r="H12" s="89" t="n">
        <x:v>1.6343750000000021</x:v>
      </x:c>
      <x:c r="I12" s="67" t="n">
        <x:v>29</x:v>
      </x:c>
      <x:c r="J12" s="67" t="n">
        <x:v>29.8</x:v>
      </x:c>
      <x:c r="K12" s="89" t="n">
        <x:v>0.8000000000000007</x:v>
      </x:c>
      <x:c r="L12" s="67" t="n">
        <x:v>14.5</x:v>
      </x:c>
      <x:c r="M12" s="67" t="n">
        <x:v>15.3</x:v>
      </x:c>
      <x:c r="N12" s="89" t="n">
        <x:v>0.8000000000000007</x:v>
      </x:c>
      <x:c r="O12" s="67" t="n">
        <x:v>21.710416666666667</x:v>
      </x:c>
      <x:c r="P12" s="67" t="n">
        <x:v>23.620833333333334</x:v>
      </x:c>
      <x:c r="Q12" s="89" t="n">
        <x:v>1.9104166666666664</x:v>
      </x:c>
      <x:c r="R12" s="90" t="n">
        <x:v>0</x:v>
      </x:c>
      <x:c r="S12" s="90" t="n">
        <x:v>0</x:v>
      </x:c>
      <x:c r="T12" s="91" t="n">
        <x:v>0</x:v>
      </x:c>
      <x:c r="U12" s="90" t="n">
        <x:v>0</x:v>
      </x:c>
      <x:c r="V12" s="90" t="n">
        <x:v>0</x:v>
      </x:c>
      <x:c r="W12" s="91" t="n">
        <x:v>0</x:v>
      </x:c>
      <x:c r="X12" s="90" t="n">
        <x:v>0</x:v>
      </x:c>
      <x:c r="Y12" s="90" t="n">
        <x:v>0</x:v>
      </x:c>
      <x:c r="Z12" s="91" t="n">
        <x:v>0</x:v>
      </x:c>
    </x:row>
    <x:row r="13" ht="19" customHeight="1">
      <x:c r="A13" s="90" t="n">
        <x:v>1964</x:v>
      </x:c>
      <x:c r="B13" s="88" t="n">
        <x:v>23621</x:v>
      </x:c>
      <x:c r="C13" s="88" t="n">
        <x:v>23617</x:v>
      </x:c>
      <x:c r="D13" s="90" t="n">
        <x:v>0</x:v>
      </x:c>
      <x:c r="E13" s="90" t="n">
        <x:v>4</x:v>
      </x:c>
      <x:c r="F13" s="67" t="n">
        <x:v>24.657291666666666</x:v>
      </x:c>
      <x:c r="G13" s="67" t="n">
        <x:v>22.834375</x:v>
      </x:c>
      <x:c r="H13" s="89" t="n">
        <x:v>-1.8229166666666643</x:v>
      </x:c>
      <x:c r="I13" s="67" t="n">
        <x:v>33.8</x:v>
      </x:c>
      <x:c r="J13" s="67" t="n">
        <x:v>29.4</x:v>
      </x:c>
      <x:c r="K13" s="89" t="n">
        <x:v>-4.399999999999999</x:v>
      </x:c>
      <x:c r="L13" s="67" t="n">
        <x:v>16.6</x:v>
      </x:c>
      <x:c r="M13" s="67" t="n">
        <x:v>17.6</x:v>
      </x:c>
      <x:c r="N13" s="89" t="n">
        <x:v>1</x:v>
      </x:c>
      <x:c r="O13" s="67" t="n">
        <x:v>25.292708333333337</x:v>
      </x:c>
      <x:c r="P13" s="67" t="n">
        <x:v>23.99375</x:v>
      </x:c>
      <x:c r="Q13" s="89" t="n">
        <x:v>-1.2989583333333385</x:v>
      </x:c>
      <x:c r="R13" s="90" t="n">
        <x:v>1</x:v>
      </x:c>
      <x:c r="S13" s="90" t="n">
        <x:v>0</x:v>
      </x:c>
      <x:c r="T13" s="91" t="n">
        <x:v>-1</x:v>
      </x:c>
      <x:c r="U13" s="90" t="n">
        <x:v>1</x:v>
      </x:c>
      <x:c r="V13" s="90" t="n">
        <x:v>0</x:v>
      </x:c>
      <x:c r="W13" s="91" t="n">
        <x:v>-1</x:v>
      </x:c>
      <x:c r="X13" s="90" t="n">
        <x:v>0</x:v>
      </x:c>
      <x:c r="Y13" s="90" t="n">
        <x:v>0</x:v>
      </x:c>
      <x:c r="Z13" s="91" t="n">
        <x:v>0</x:v>
      </x:c>
    </x:row>
    <x:row r="14" ht="19" customHeight="1">
      <x:c r="A14" s="90" t="n">
        <x:v>1965</x:v>
      </x:c>
      <x:c r="B14" s="88" t="n">
        <x:v>23986</x:v>
      </x:c>
      <x:c r="C14" s="88" t="n">
        <x:v>23981</x:v>
      </x:c>
      <x:c r="D14" s="90" t="n">
        <x:v>0</x:v>
      </x:c>
      <x:c r="E14" s="90" t="n">
        <x:v>5</x:v>
      </x:c>
      <x:c r="F14" s="67" t="n">
        <x:v>17.088541666666668</x:v>
      </x:c>
      <x:c r="G14" s="67" t="n">
        <x:v>23.028125000000003</x:v>
      </x:c>
      <x:c r="H14" s="89" t="n">
        <x:v>5.939583333333335</x:v>
      </x:c>
      <x:c r="I14" s="67" t="n">
        <x:v>26.2</x:v>
      </x:c>
      <x:c r="J14" s="67" t="n">
        <x:v>31.7</x:v>
      </x:c>
      <x:c r="K14" s="89" t="n">
        <x:v>5.5</x:v>
      </x:c>
      <x:c r="L14" s="67" t="n">
        <x:v>9</x:v>
      </x:c>
      <x:c r="M14" s="67" t="n">
        <x:v>16.8</x:v>
      </x:c>
      <x:c r="N14" s="89" t="n">
        <x:v>7.800000000000001</x:v>
      </x:c>
      <x:c r="O14" s="67" t="n">
        <x:v>15.586458333333333</x:v>
      </x:c>
      <x:c r="P14" s="67" t="n">
        <x:v>23.426041666666666</x:v>
      </x:c>
      <x:c r="Q14" s="89" t="n">
        <x:v>7.839583333333334</x:v>
      </x:c>
      <x:c r="R14" s="90" t="n">
        <x:v>0</x:v>
      </x:c>
      <x:c r="S14" s="90" t="n">
        <x:v>1</x:v>
      </x:c>
      <x:c r="T14" s="91" t="n">
        <x:v>1</x:v>
      </x:c>
      <x:c r="U14" s="90" t="n">
        <x:v>0</x:v>
      </x:c>
      <x:c r="V14" s="90" t="n">
        <x:v>0</x:v>
      </x:c>
      <x:c r="W14" s="91" t="n">
        <x:v>0</x:v>
      </x:c>
      <x:c r="X14" s="90" t="n">
        <x:v>0</x:v>
      </x:c>
      <x:c r="Y14" s="90" t="n">
        <x:v>0</x:v>
      </x:c>
      <x:c r="Z14" s="91" t="n">
        <x:v>0</x:v>
      </x:c>
    </x:row>
    <x:row r="15" ht="19" customHeight="1">
      <x:c r="A15" s="90" t="n">
        <x:v>1966</x:v>
      </x:c>
      <x:c r="B15" s="88" t="n">
        <x:v>24351</x:v>
      </x:c>
      <x:c r="C15" s="88" t="n">
        <x:v>24345</x:v>
      </x:c>
      <x:c r="D15" s="90" t="n">
        <x:v>0</x:v>
      </x:c>
      <x:c r="E15" s="90" t="n">
        <x:v>6</x:v>
      </x:c>
      <x:c r="F15" s="67" t="n">
        <x:v>22.307291666666668</x:v>
      </x:c>
      <x:c r="G15" s="67" t="n">
        <x:v>23.890625</x:v>
      </x:c>
      <x:c r="H15" s="89" t="n">
        <x:v>1.5833333333333321</x:v>
      </x:c>
      <x:c r="I15" s="67" t="n">
        <x:v>31.4</x:v>
      </x:c>
      <x:c r="J15" s="67" t="n">
        <x:v>32.1</x:v>
      </x:c>
      <x:c r="K15" s="89" t="n">
        <x:v>0.7000000000000028</x:v>
      </x:c>
      <x:c r="L15" s="67" t="n">
        <x:v>16.4</x:v>
      </x:c>
      <x:c r="M15" s="67" t="n">
        <x:v>16.4</x:v>
      </x:c>
      <x:c r="N15" s="89" t="n">
        <x:v>0</x:v>
      </x:c>
      <x:c r="O15" s="67" t="n">
        <x:v>22.842708333333334</x:v>
      </x:c>
      <x:c r="P15" s="67" t="n">
        <x:v>23.032291666666666</x:v>
      </x:c>
      <x:c r="Q15" s="89" t="n">
        <x:v>0.18958333333333144</x:v>
      </x:c>
      <x:c r="R15" s="90" t="n">
        <x:v>1</x:v>
      </x:c>
      <x:c r="S15" s="90" t="n">
        <x:v>1</x:v>
      </x:c>
      <x:c r="T15" s="91" t="n">
        <x:v>0</x:v>
      </x:c>
      <x:c r="U15" s="90" t="n">
        <x:v>0</x:v>
      </x:c>
      <x:c r="V15" s="90" t="n">
        <x:v>1</x:v>
      </x:c>
      <x:c r="W15" s="91" t="n">
        <x:v>1</x:v>
      </x:c>
      <x:c r="X15" s="90" t="n">
        <x:v>0</x:v>
      </x:c>
      <x:c r="Y15" s="90" t="n">
        <x:v>0</x:v>
      </x:c>
      <x:c r="Z15" s="91" t="n">
        <x:v>0</x:v>
      </x:c>
    </x:row>
    <x:row r="16" ht="19" customHeight="1">
      <x:c r="A16" s="90" t="n">
        <x:v>1967</x:v>
      </x:c>
      <x:c r="B16" s="88" t="n">
        <x:v>24716</x:v>
      </x:c>
      <x:c r="C16" s="88" t="n">
        <x:v>24709</x:v>
      </x:c>
      <x:c r="D16" s="90" t="n">
        <x:v>0</x:v>
      </x:c>
      <x:c r="E16" s="90" t="n">
        <x:v>7</x:v>
      </x:c>
      <x:c r="F16" s="67" t="n">
        <x:v>22.98229166666667</x:v>
      </x:c>
      <x:c r="G16" s="67" t="n">
        <x:v>21.192708333333336</x:v>
      </x:c>
      <x:c r="H16" s="89" t="n">
        <x:v>-1.7895833333333329</x:v>
      </x:c>
      <x:c r="I16" s="67" t="n">
        <x:v>30.5</x:v>
      </x:c>
      <x:c r="J16" s="67" t="n">
        <x:v>28.1</x:v>
      </x:c>
      <x:c r="K16" s="89" t="n">
        <x:v>-2.3999999999999986</x:v>
      </x:c>
      <x:c r="L16" s="67" t="n">
        <x:v>16.6</x:v>
      </x:c>
      <x:c r="M16" s="67" t="n">
        <x:v>16.2</x:v>
      </x:c>
      <x:c r="N16" s="89" t="n">
        <x:v>-0.40000000000000213</x:v>
      </x:c>
      <x:c r="O16" s="67" t="n">
        <x:v>22.598958333333336</x:v>
      </x:c>
      <x:c r="P16" s="67" t="n">
        <x:v>22.55</x:v>
      </x:c>
      <x:c r="Q16" s="89" t="n">
        <x:v>-0.04895833333333499</x:v>
      </x:c>
      <x:c r="R16" s="90" t="n">
        <x:v>1</x:v>
      </x:c>
      <x:c r="S16" s="90" t="n">
        <x:v>0</x:v>
      </x:c>
      <x:c r="T16" s="91" t="n">
        <x:v>-1</x:v>
      </x:c>
      <x:c r="U16" s="90" t="n">
        <x:v>0</x:v>
      </x:c>
      <x:c r="V16" s="90" t="n">
        <x:v>0</x:v>
      </x:c>
      <x:c r="W16" s="91" t="n">
        <x:v>0</x:v>
      </x:c>
      <x:c r="X16" s="90" t="n">
        <x:v>0</x:v>
      </x:c>
      <x:c r="Y16" s="90" t="n">
        <x:v>0</x:v>
      </x:c>
      <x:c r="Z16" s="91" t="n">
        <x:v>0</x:v>
      </x:c>
    </x:row>
    <x:row r="17" ht="19" customHeight="1">
      <x:c r="A17" s="90" t="n">
        <x:v>1970</x:v>
      </x:c>
      <x:c r="B17" s="88" t="n">
        <x:v>25812</x:v>
      </x:c>
      <x:c r="C17" s="88" t="n">
        <x:v>25808</x:v>
      </x:c>
      <x:c r="D17" s="90" t="n">
        <x:v>0</x:v>
      </x:c>
      <x:c r="E17" s="90" t="n">
        <x:v>4</x:v>
      </x:c>
      <x:c r="F17" s="67" t="n">
        <x:v>22.886458333333334</x:v>
      </x:c>
      <x:c r="G17" s="67" t="n">
        <x:v>22.566666666666666</x:v>
      </x:c>
      <x:c r="H17" s="89" t="n">
        <x:v>-0.31979166666666714</x:v>
      </x:c>
      <x:c r="I17" s="67" t="n">
        <x:v>31</x:v>
      </x:c>
      <x:c r="J17" s="67" t="n">
        <x:v>29.2</x:v>
      </x:c>
      <x:c r="K17" s="89" t="n">
        <x:v>-1.8000000000000007</x:v>
      </x:c>
      <x:c r="L17" s="67" t="n">
        <x:v>17.2</x:v>
      </x:c>
      <x:c r="M17" s="67" t="n">
        <x:v>18</x:v>
      </x:c>
      <x:c r="N17" s="89" t="n">
        <x:v>0.8000000000000007</x:v>
      </x:c>
      <x:c r="O17" s="67" t="n">
        <x:v>24.155208333333334</x:v>
      </x:c>
      <x:c r="P17" s="67" t="n">
        <x:v>23.792708333333334</x:v>
      </x:c>
      <x:c r="Q17" s="89" t="n">
        <x:v>-0.3625000000000007</x:v>
      </x:c>
      <x:c r="R17" s="90" t="n">
        <x:v>1</x:v>
      </x:c>
      <x:c r="S17" s="90" t="n">
        <x:v>0</x:v>
      </x:c>
      <x:c r="T17" s="91" t="n">
        <x:v>-1</x:v>
      </x:c>
      <x:c r="U17" s="90" t="n">
        <x:v>0</x:v>
      </x:c>
      <x:c r="V17" s="90" t="n">
        <x:v>0</x:v>
      </x:c>
      <x:c r="W17" s="91" t="n">
        <x:v>0</x:v>
      </x:c>
      <x:c r="X17" s="90" t="n">
        <x:v>0</x:v>
      </x:c>
      <x:c r="Y17" s="90" t="n">
        <x:v>0</x:v>
      </x:c>
      <x:c r="Z17" s="91" t="n">
        <x:v>0</x:v>
      </x:c>
    </x:row>
    <x:row r="18" ht="19" customHeight="1">
      <x:c r="A18" s="90" t="n">
        <x:v>1971</x:v>
      </x:c>
      <x:c r="B18" s="88" t="n">
        <x:v>26177</x:v>
      </x:c>
      <x:c r="C18" s="88" t="n">
        <x:v>26172</x:v>
      </x:c>
      <x:c r="D18" s="90" t="n">
        <x:v>0</x:v>
      </x:c>
      <x:c r="E18" s="90" t="n">
        <x:v>5</x:v>
      </x:c>
      <x:c r="F18" s="67" t="n">
        <x:v>21.896875</x:v>
      </x:c>
      <x:c r="G18" s="67" t="n">
        <x:v>24.18958333333333</x:v>
      </x:c>
      <x:c r="H18" s="89" t="n">
        <x:v>2.29270833333333</x:v>
      </x:c>
      <x:c r="I18" s="67" t="n">
        <x:v>28</x:v>
      </x:c>
      <x:c r="J18" s="67" t="n">
        <x:v>30.8</x:v>
      </x:c>
      <x:c r="K18" s="89" t="n">
        <x:v>2.8000000000000007</x:v>
      </x:c>
      <x:c r="L18" s="67" t="n">
        <x:v>15.2</x:v>
      </x:c>
      <x:c r="M18" s="67" t="n">
        <x:v>18.1</x:v>
      </x:c>
      <x:c r="N18" s="89" t="n">
        <x:v>2.900000000000002</x:v>
      </x:c>
      <x:c r="O18" s="67" t="n">
        <x:v>23.348958333333336</x:v>
      </x:c>
      <x:c r="P18" s="67" t="n">
        <x:v>24.1875</x:v>
      </x:c>
      <x:c r="Q18" s="89" t="n">
        <x:v>0.8385416666666643</x:v>
      </x:c>
      <x:c r="R18" s="90" t="n">
        <x:v>0</x:v>
      </x:c>
      <x:c r="S18" s="90" t="n">
        <x:v>1</x:v>
      </x:c>
      <x:c r="T18" s="91" t="n">
        <x:v>1</x:v>
      </x:c>
      <x:c r="U18" s="90" t="n">
        <x:v>0</x:v>
      </x:c>
      <x:c r="V18" s="90" t="n">
        <x:v>0</x:v>
      </x:c>
      <x:c r="W18" s="91" t="n">
        <x:v>0</x:v>
      </x:c>
      <x:c r="X18" s="90" t="n">
        <x:v>0</x:v>
      </x:c>
      <x:c r="Y18" s="90" t="n">
        <x:v>0</x:v>
      </x:c>
      <x:c r="Z18" s="91" t="n">
        <x:v>0</x:v>
      </x:c>
    </x:row>
    <x:row r="19" ht="19" customHeight="1">
      <x:c r="A19" s="90" t="n">
        <x:v>1972</x:v>
      </x:c>
      <x:c r="B19" s="88" t="n">
        <x:v>26543</x:v>
      </x:c>
      <x:c r="C19" s="88" t="n">
        <x:v>26536</x:v>
      </x:c>
      <x:c r="D19" s="90" t="n">
        <x:v>0</x:v>
      </x:c>
      <x:c r="E19" s="90" t="n">
        <x:v>7</x:v>
      </x:c>
      <x:c r="F19" s="67" t="n">
        <x:v>17.679166666666667</x:v>
      </x:c>
      <x:c r="G19" s="67" t="n">
        <x:v>22.228125</x:v>
      </x:c>
      <x:c r="H19" s="89" t="n">
        <x:v>4.548958333333331</x:v>
      </x:c>
      <x:c r="I19" s="67" t="n">
        <x:v>22.7</x:v>
      </x:c>
      <x:c r="J19" s="67" t="n">
        <x:v>29.6</x:v>
      </x:c>
      <x:c r="K19" s="89" t="n">
        <x:v>6.900000000000002</x:v>
      </x:c>
      <x:c r="L19" s="67" t="n">
        <x:v>12.4</x:v>
      </x:c>
      <x:c r="M19" s="67" t="n">
        <x:v>15.9</x:v>
      </x:c>
      <x:c r="N19" s="89" t="n">
        <x:v>3.5</x:v>
      </x:c>
      <x:c r="O19" s="67" t="n">
        <x:v>18.21666666666667</x:v>
      </x:c>
      <x:c r="P19" s="67" t="n">
        <x:v>22.49791666666667</x:v>
      </x:c>
      <x:c r="Q19" s="89" t="n">
        <x:v>4.28125</x:v>
      </x:c>
      <x:c r="R19" s="90" t="n">
        <x:v>0</x:v>
      </x:c>
      <x:c r="S19" s="90" t="n">
        <x:v>0</x:v>
      </x:c>
      <x:c r="T19" s="91" t="n">
        <x:v>0</x:v>
      </x:c>
      <x:c r="U19" s="90" t="n">
        <x:v>0</x:v>
      </x:c>
      <x:c r="V19" s="90" t="n">
        <x:v>0</x:v>
      </x:c>
      <x:c r="W19" s="91" t="n">
        <x:v>0</x:v>
      </x:c>
      <x:c r="X19" s="90" t="n">
        <x:v>0</x:v>
      </x:c>
      <x:c r="Y19" s="90" t="n">
        <x:v>0</x:v>
      </x:c>
      <x:c r="Z19" s="91" t="n">
        <x:v>0</x:v>
      </x:c>
    </x:row>
    <x:row r="20" ht="19" customHeight="1">
      <x:c r="A20" s="90" t="n">
        <x:v>1976</x:v>
      </x:c>
      <x:c r="B20" s="88" t="n">
        <x:v>28004</x:v>
      </x:c>
      <x:c r="C20" s="88" t="n">
        <x:v>27999</x:v>
      </x:c>
      <x:c r="D20" s="90" t="n">
        <x:v>0</x:v>
      </x:c>
      <x:c r="E20" s="90" t="n">
        <x:v>5</x:v>
      </x:c>
      <x:c r="F20" s="67" t="n">
        <x:v>20.475</x:v>
      </x:c>
      <x:c r="G20" s="67" t="n">
        <x:v>19.9625</x:v>
      </x:c>
      <x:c r="H20" s="89" t="n">
        <x:v>-0.5125000000000028</x:v>
      </x:c>
      <x:c r="I20" s="67" t="n">
        <x:v>26.5</x:v>
      </x:c>
      <x:c r="J20" s="67" t="n">
        <x:v>26.3</x:v>
      </x:c>
      <x:c r="K20" s="89" t="n">
        <x:v>-0.1999999999999993</x:v>
      </x:c>
      <x:c r="L20" s="67" t="n">
        <x:v>14.8</x:v>
      </x:c>
      <x:c r="M20" s="67" t="n">
        <x:v>14.3</x:v>
      </x:c>
      <x:c r="N20" s="89" t="n">
        <x:v>-0.5</x:v>
      </x:c>
      <x:c r="O20" s="67" t="n">
        <x:v>20.365625</x:v>
      </x:c>
      <x:c r="P20" s="67" t="n">
        <x:v>20.471875</x:v>
      </x:c>
      <x:c r="Q20" s="89" t="n">
        <x:v>0.10624999999999929</x:v>
      </x:c>
      <x:c r="R20" s="90" t="n">
        <x:v>0</x:v>
      </x:c>
      <x:c r="S20" s="90" t="n">
        <x:v>0</x:v>
      </x:c>
      <x:c r="T20" s="91" t="n">
        <x:v>0</x:v>
      </x:c>
      <x:c r="U20" s="90" t="n">
        <x:v>0</x:v>
      </x:c>
      <x:c r="V20" s="90" t="n">
        <x:v>0</x:v>
      </x:c>
      <x:c r="W20" s="91" t="n">
        <x:v>0</x:v>
      </x:c>
      <x:c r="X20" s="90" t="n">
        <x:v>0</x:v>
      </x:c>
      <x:c r="Y20" s="90" t="n">
        <x:v>0</x:v>
      </x:c>
      <x:c r="Z20" s="91" t="n">
        <x:v>0</x:v>
      </x:c>
    </x:row>
    <x:row r="21" ht="19" customHeight="1">
      <x:c r="A21" s="90" t="n">
        <x:v>1977</x:v>
      </x:c>
      <x:c r="B21" s="88" t="n">
        <x:v>28369</x:v>
      </x:c>
      <x:c r="C21" s="88" t="n">
        <x:v>28363</x:v>
      </x:c>
      <x:c r="D21" s="90" t="n">
        <x:v>0</x:v>
      </x:c>
      <x:c r="E21" s="90" t="n">
        <x:v>6</x:v>
      </x:c>
      <x:c r="F21" s="67" t="n">
        <x:v>19.719791666666666</x:v>
      </x:c>
      <x:c r="G21" s="67" t="n">
        <x:v>17.977083333333333</x:v>
      </x:c>
      <x:c r="H21" s="89" t="n">
        <x:v>-1.7427083333333329</x:v>
      </x:c>
      <x:c r="I21" s="67" t="n">
        <x:v>25.5</x:v>
      </x:c>
      <x:c r="J21" s="67" t="n">
        <x:v>28.3</x:v>
      </x:c>
      <x:c r="K21" s="89" t="n">
        <x:v>2.8000000000000007</x:v>
      </x:c>
      <x:c r="L21" s="67" t="n">
        <x:v>15</x:v>
      </x:c>
      <x:c r="M21" s="67" t="n">
        <x:v>10.6</x:v>
      </x:c>
      <x:c r="N21" s="89" t="n">
        <x:v>-4.4</x:v>
      </x:c>
      <x:c r="O21" s="67" t="n">
        <x:v>20.953125</x:v>
      </x:c>
      <x:c r="P21" s="67" t="n">
        <x:v>17.664583333333333</x:v>
      </x:c>
      <x:c r="Q21" s="89" t="n">
        <x:v>-3.288541666666667</x:v>
      </x:c>
      <x:c r="R21" s="90" t="n">
        <x:v>0</x:v>
      </x:c>
      <x:c r="S21" s="90" t="n">
        <x:v>0</x:v>
      </x:c>
      <x:c r="T21" s="91" t="n">
        <x:v>0</x:v>
      </x:c>
      <x:c r="U21" s="90" t="n">
        <x:v>0</x:v>
      </x:c>
      <x:c r="V21" s="90" t="n">
        <x:v>0</x:v>
      </x:c>
      <x:c r="W21" s="91" t="n">
        <x:v>0</x:v>
      </x:c>
      <x:c r="X21" s="90" t="n">
        <x:v>0</x:v>
      </x:c>
      <x:c r="Y21" s="90" t="n">
        <x:v>0</x:v>
      </x:c>
      <x:c r="Z21" s="91" t="n">
        <x:v>0</x:v>
      </x:c>
    </x:row>
    <x:row r="22" ht="19" customHeight="1">
      <x:c r="A22" s="90" t="n">
        <x:v>1978</x:v>
      </x:c>
      <x:c r="B22" s="88" t="n">
        <x:v>28734</x:v>
      </x:c>
      <x:c r="C22" s="88" t="n">
        <x:v>28727</x:v>
      </x:c>
      <x:c r="D22" s="90" t="n">
        <x:v>0</x:v>
      </x:c>
      <x:c r="E22" s="90" t="n">
        <x:v>7</x:v>
      </x:c>
      <x:c r="F22" s="67" t="n">
        <x:v>22.217708333333334</x:v>
      </x:c>
      <x:c r="G22" s="67" t="n">
        <x:v>22.782291666666666</x:v>
      </x:c>
      <x:c r="H22" s="89" t="n">
        <x:v>0.5645833333333314</x:v>
      </x:c>
      <x:c r="I22" s="67" t="n">
        <x:v>29.6</x:v>
      </x:c>
      <x:c r="J22" s="67" t="n">
        <x:v>28.9</x:v>
      </x:c>
      <x:c r="K22" s="89" t="n">
        <x:v>-0.7000000000000028</x:v>
      </x:c>
      <x:c r="L22" s="67" t="n">
        <x:v>16.4</x:v>
      </x:c>
      <x:c r="M22" s="67" t="n">
        <x:v>17.8</x:v>
      </x:c>
      <x:c r="N22" s="89" t="n">
        <x:v>1.4000000000000021</x:v>
      </x:c>
      <x:c r="O22" s="67" t="n">
        <x:v>22.583333333333336</x:v>
      </x:c>
      <x:c r="P22" s="67" t="n">
        <x:v>24.947916666666664</x:v>
      </x:c>
      <x:c r="Q22" s="89" t="n">
        <x:v>2.3645833333333286</x:v>
      </x:c>
      <x:c r="R22" s="90" t="n">
        <x:v>0</x:v>
      </x:c>
      <x:c r="S22" s="90" t="n">
        <x:v>0</x:v>
      </x:c>
      <x:c r="T22" s="91" t="n">
        <x:v>0</x:v>
      </x:c>
      <x:c r="U22" s="90" t="n">
        <x:v>0</x:v>
      </x:c>
      <x:c r="V22" s="90" t="n">
        <x:v>0</x:v>
      </x:c>
      <x:c r="W22" s="91" t="n">
        <x:v>0</x:v>
      </x:c>
      <x:c r="X22" s="90" t="n">
        <x:v>0</x:v>
      </x:c>
      <x:c r="Y22" s="90" t="n">
        <x:v>0</x:v>
      </x:c>
      <x:c r="Z22" s="91" t="n">
        <x:v>0</x:v>
      </x:c>
    </x:row>
    <x:row r="23" ht="19" customHeight="1">
      <x:c r="A23" s="90" t="n">
        <x:v>1981</x:v>
      </x:c>
      <x:c r="B23" s="88" t="n">
        <x:v>29830</x:v>
      </x:c>
      <x:c r="C23" s="88" t="n">
        <x:v>29826</x:v>
      </x:c>
      <x:c r="D23" s="90" t="n">
        <x:v>0</x:v>
      </x:c>
      <x:c r="E23" s="90" t="n">
        <x:v>4</x:v>
      </x:c>
      <x:c r="F23" s="67" t="n">
        <x:v>21.84166666666667</x:v>
      </x:c>
      <x:c r="G23" s="67" t="n">
        <x:v>21.419791666666665</x:v>
      </x:c>
      <x:c r="H23" s="89" t="n">
        <x:v>-0.42187500000000355</x:v>
      </x:c>
      <x:c r="I23" s="67" t="n">
        <x:v>28.2</x:v>
      </x:c>
      <x:c r="J23" s="67" t="n">
        <x:v>28.3</x:v>
      </x:c>
      <x:c r="K23" s="89" t="n">
        <x:v>0.10000000000000142</x:v>
      </x:c>
      <x:c r="L23" s="67" t="n">
        <x:v>16.9</x:v>
      </x:c>
      <x:c r="M23" s="67" t="n">
        <x:v>14.3</x:v>
      </x:c>
      <x:c r="N23" s="89" t="n">
        <x:v>-2.599999999999998</x:v>
      </x:c>
      <x:c r="O23" s="67" t="n">
        <x:v>22.98229166666667</x:v>
      </x:c>
      <x:c r="P23" s="67" t="n">
        <x:v>21.491666666666667</x:v>
      </x:c>
      <x:c r="Q23" s="89" t="n">
        <x:v>-1.4906250000000014</x:v>
      </x:c>
      <x:c r="R23" s="90" t="n">
        <x:v>0</x:v>
      </x:c>
      <x:c r="S23" s="90" t="n">
        <x:v>0</x:v>
      </x:c>
      <x:c r="T23" s="91" t="n">
        <x:v>0</x:v>
      </x:c>
      <x:c r="U23" s="90" t="n">
        <x:v>0</x:v>
      </x:c>
      <x:c r="V23" s="90" t="n">
        <x:v>0</x:v>
      </x:c>
      <x:c r="W23" s="91" t="n">
        <x:v>0</x:v>
      </x:c>
      <x:c r="X23" s="90" t="n">
        <x:v>0</x:v>
      </x:c>
      <x:c r="Y23" s="90" t="n">
        <x:v>0</x:v>
      </x:c>
      <x:c r="Z23" s="91" t="n">
        <x:v>0</x:v>
      </x:c>
    </x:row>
    <x:row r="24" ht="19" customHeight="1">
      <x:c r="A24" s="90" t="n">
        <x:v>1982</x:v>
      </x:c>
      <x:c r="B24" s="88" t="n">
        <x:v>30195</x:v>
      </x:c>
      <x:c r="C24" s="88" t="n">
        <x:v>30190</x:v>
      </x:c>
      <x:c r="D24" s="90" t="n">
        <x:v>0</x:v>
      </x:c>
      <x:c r="E24" s="90" t="n">
        <x:v>5</x:v>
      </x:c>
      <x:c r="F24" s="67" t="n">
        <x:v>18.14270833333333</x:v>
      </x:c>
      <x:c r="G24" s="67" t="n">
        <x:v>22.0375</x:v>
      </x:c>
      <x:c r="H24" s="89" t="n">
        <x:v>3.89479166666667</x:v>
      </x:c>
      <x:c r="I24" s="67" t="n">
        <x:v>25.9</x:v>
      </x:c>
      <x:c r="J24" s="67" t="n">
        <x:v>29.1</x:v>
      </x:c>
      <x:c r="K24" s="89" t="n">
        <x:v>3.200000000000003</x:v>
      </x:c>
      <x:c r="L24" s="67" t="n">
        <x:v>11.8</x:v>
      </x:c>
      <x:c r="M24" s="67" t="n">
        <x:v>16.4</x:v>
      </x:c>
      <x:c r="N24" s="89" t="n">
        <x:v>4.599999999999998</x:v>
      </x:c>
      <x:c r="O24" s="67" t="n">
        <x:v>17.626041666666666</x:v>
      </x:c>
      <x:c r="P24" s="67" t="n">
        <x:v>22.977083333333333</x:v>
      </x:c>
      <x:c r="Q24" s="89" t="n">
        <x:v>5.351041666666667</x:v>
      </x:c>
      <x:c r="R24" s="90" t="n">
        <x:v>0</x:v>
      </x:c>
      <x:c r="S24" s="90" t="n">
        <x:v>0</x:v>
      </x:c>
      <x:c r="T24" s="91" t="n">
        <x:v>0</x:v>
      </x:c>
      <x:c r="U24" s="90" t="n">
        <x:v>0</x:v>
      </x:c>
      <x:c r="V24" s="90" t="n">
        <x:v>0</x:v>
      </x:c>
      <x:c r="W24" s="91" t="n">
        <x:v>0</x:v>
      </x:c>
      <x:c r="X24" s="90" t="n">
        <x:v>0</x:v>
      </x:c>
      <x:c r="Y24" s="90" t="n">
        <x:v>0</x:v>
      </x:c>
      <x:c r="Z24" s="91" t="n">
        <x:v>0</x:v>
      </x:c>
    </x:row>
    <x:row r="25" ht="19" customHeight="1">
      <x:c r="A25" s="90" t="n">
        <x:v>1983</x:v>
      </x:c>
      <x:c r="B25" s="88" t="n">
        <x:v>30560</x:v>
      </x:c>
      <x:c r="C25" s="88" t="n">
        <x:v>30554</x:v>
      </x:c>
      <x:c r="D25" s="90" t="n">
        <x:v>0</x:v>
      </x:c>
      <x:c r="E25" s="90" t="n">
        <x:v>6</x:v>
      </x:c>
      <x:c r="F25" s="67" t="n">
        <x:v>21.3125</x:v>
      </x:c>
      <x:c r="G25" s="67" t="n">
        <x:v>19.605208333333334</x:v>
      </x:c>
      <x:c r="H25" s="89" t="n">
        <x:v>-1.7072916666666664</x:v>
      </x:c>
      <x:c r="I25" s="67" t="n">
        <x:v>27.6</x:v>
      </x:c>
      <x:c r="J25" s="67" t="n">
        <x:v>25.1</x:v>
      </x:c>
      <x:c r="K25" s="89" t="n">
        <x:v>-2.5</x:v>
      </x:c>
      <x:c r="L25" s="67" t="n">
        <x:v>16.4</x:v>
      </x:c>
      <x:c r="M25" s="67" t="n">
        <x:v>15.4</x:v>
      </x:c>
      <x:c r="N25" s="89" t="n">
        <x:v>-0.9999999999999982</x:v>
      </x:c>
      <x:c r="O25" s="67" t="n">
        <x:v>21.643749999999997</x:v>
      </x:c>
      <x:c r="P25" s="67" t="n">
        <x:v>20.776041666666668</x:v>
      </x:c>
      <x:c r="Q25" s="89" t="n">
        <x:v>-0.8677083333333293</x:v>
      </x:c>
      <x:c r="R25" s="90" t="n">
        <x:v>0</x:v>
      </x:c>
      <x:c r="S25" s="90" t="n">
        <x:v>0</x:v>
      </x:c>
      <x:c r="T25" s="91" t="n">
        <x:v>0</x:v>
      </x:c>
      <x:c r="U25" s="90" t="n">
        <x:v>0</x:v>
      </x:c>
      <x:c r="V25" s="90" t="n">
        <x:v>0</x:v>
      </x:c>
      <x:c r="W25" s="91" t="n">
        <x:v>0</x:v>
      </x:c>
      <x:c r="X25" s="90" t="n">
        <x:v>0</x:v>
      </x:c>
      <x:c r="Y25" s="90" t="n">
        <x:v>0</x:v>
      </x:c>
      <x:c r="Z25" s="91" t="n">
        <x:v>0</x:v>
      </x:c>
    </x:row>
    <x:row r="26" ht="19" customHeight="1">
      <x:c r="A26" s="90" t="n">
        <x:v>1987</x:v>
      </x:c>
      <x:c r="B26" s="88" t="n">
        <x:v>32021</x:v>
      </x:c>
      <x:c r="C26" s="88" t="n">
        <x:v>32017</x:v>
      </x:c>
      <x:c r="D26" s="90" t="n">
        <x:v>0</x:v>
      </x:c>
      <x:c r="E26" s="90" t="n">
        <x:v>4</x:v>
      </x:c>
      <x:c r="F26" s="67" t="n">
        <x:v>22.378124999999997</x:v>
      </x:c>
      <x:c r="G26" s="67" t="n">
        <x:v>20.823958333333334</x:v>
      </x:c>
      <x:c r="H26" s="89" t="n">
        <x:v>-1.5541666666666636</x:v>
      </x:c>
      <x:c r="I26" s="67" t="n">
        <x:v>27.8</x:v>
      </x:c>
      <x:c r="J26" s="67" t="n">
        <x:v>27.8</x:v>
      </x:c>
      <x:c r="K26" s="89" t="n">
        <x:v>0</x:v>
      </x:c>
      <x:c r="L26" s="67" t="n">
        <x:v>18</x:v>
      </x:c>
      <x:c r="M26" s="67" t="n">
        <x:v>17.4</x:v>
      </x:c>
      <x:c r="N26" s="89" t="n">
        <x:v>-0.6000000000000014</x:v>
      </x:c>
      <x:c r="O26" s="67" t="n">
        <x:v>24.132291666666667</x:v>
      </x:c>
      <x:c r="P26" s="67" t="n">
        <x:v>21.351041666666667</x:v>
      </x:c>
      <x:c r="Q26" s="89" t="n">
        <x:v>-2.78125</x:v>
      </x:c>
      <x:c r="R26" s="90" t="n">
        <x:v>0</x:v>
      </x:c>
      <x:c r="S26" s="90" t="n">
        <x:v>0</x:v>
      </x:c>
      <x:c r="T26" s="91" t="n">
        <x:v>0</x:v>
      </x:c>
      <x:c r="U26" s="90" t="n">
        <x:v>0</x:v>
      </x:c>
      <x:c r="V26" s="90" t="n">
        <x:v>0</x:v>
      </x:c>
      <x:c r="W26" s="91" t="n">
        <x:v>0</x:v>
      </x:c>
      <x:c r="X26" s="90" t="n">
        <x:v>0</x:v>
      </x:c>
      <x:c r="Y26" s="90" t="n">
        <x:v>0</x:v>
      </x:c>
      <x:c r="Z26" s="91" t="n">
        <x:v>0</x:v>
      </x:c>
    </x:row>
    <x:row r="27" ht="19" customHeight="1">
      <x:c r="A27" s="90" t="n">
        <x:v>1988</x:v>
      </x:c>
      <x:c r="B27" s="88" t="n">
        <x:v>32387</x:v>
      </x:c>
      <x:c r="C27" s="88" t="n">
        <x:v>32381</x:v>
      </x:c>
      <x:c r="D27" s="90" t="n">
        <x:v>0</x:v>
      </x:c>
      <x:c r="E27" s="90" t="n">
        <x:v>6</x:v>
      </x:c>
      <x:c r="F27" s="67" t="n">
        <x:v>23.5</x:v>
      </x:c>
      <x:c r="G27" s="67" t="n">
        <x:v>25.123958333333334</x:v>
      </x:c>
      <x:c r="H27" s="89" t="n">
        <x:v>1.6239583333333343</x:v>
      </x:c>
      <x:c r="I27" s="67" t="n">
        <x:v>31.3</x:v>
      </x:c>
      <x:c r="J27" s="67" t="n">
        <x:v>35.5</x:v>
      </x:c>
      <x:c r="K27" s="89" t="n">
        <x:v>4.199999999999999</x:v>
      </x:c>
      <x:c r="L27" s="67" t="n">
        <x:v>16.5</x:v>
      </x:c>
      <x:c r="M27" s="67" t="n">
        <x:v>19.1</x:v>
      </x:c>
      <x:c r="N27" s="89" t="n">
        <x:v>2.6000000000000014</x:v>
      </x:c>
      <x:c r="O27" s="67" t="n">
        <x:v>23.34375</x:v>
      </x:c>
      <x:c r="P27" s="67" t="n">
        <x:v>26.37291666666667</x:v>
      </x:c>
      <x:c r="Q27" s="89" t="n">
        <x:v>3.0291666666666686</x:v>
      </x:c>
      <x:c r="R27" s="90" t="n">
        <x:v>1</x:v>
      </x:c>
      <x:c r="S27" s="90" t="n">
        <x:v>1</x:v>
      </x:c>
      <x:c r="T27" s="91" t="n">
        <x:v>0</x:v>
      </x:c>
      <x:c r="U27" s="90" t="n">
        <x:v>0</x:v>
      </x:c>
      <x:c r="V27" s="90" t="n">
        <x:v>1</x:v>
      </x:c>
      <x:c r="W27" s="91" t="n">
        <x:v>1</x:v>
      </x:c>
      <x:c r="X27" s="90" t="n">
        <x:v>0</x:v>
      </x:c>
      <x:c r="Y27" s="90" t="n">
        <x:v>1</x:v>
      </x:c>
      <x:c r="Z27" s="91" t="n">
        <x:v>1</x:v>
      </x:c>
    </x:row>
    <x:row r="28" ht="19" customHeight="1">
      <x:c r="A28" s="90" t="n">
        <x:v>1989</x:v>
      </x:c>
      <x:c r="B28" s="88" t="n">
        <x:v>32752</x:v>
      </x:c>
      <x:c r="C28" s="88" t="n">
        <x:v>32745</x:v>
      </x:c>
      <x:c r="D28" s="90" t="n">
        <x:v>0</x:v>
      </x:c>
      <x:c r="E28" s="90" t="n">
        <x:v>7</x:v>
      </x:c>
      <x:c r="F28" s="67" t="n">
        <x:v>19.302083333333332</x:v>
      </x:c>
      <x:c r="G28" s="67" t="n">
        <x:v>24.880208333333336</x:v>
      </x:c>
      <x:c r="H28" s="89" t="n">
        <x:v>5.5781250000000036</x:v>
      </x:c>
      <x:c r="I28" s="67" t="n">
        <x:v>24.2</x:v>
      </x:c>
      <x:c r="J28" s="67" t="n">
        <x:v>33.6</x:v>
      </x:c>
      <x:c r="K28" s="89" t="n">
        <x:v>9.400000000000002</x:v>
      </x:c>
      <x:c r="L28" s="67" t="n">
        <x:v>15.2</x:v>
      </x:c>
      <x:c r="M28" s="67" t="n">
        <x:v>18.9</x:v>
      </x:c>
      <x:c r="N28" s="89" t="n">
        <x:v>3.6999999999999993</x:v>
      </x:c>
      <x:c r="O28" s="67" t="n">
        <x:v>20.261458333333334</x:v>
      </x:c>
      <x:c r="P28" s="67" t="n">
        <x:v>26.229166666666664</x:v>
      </x:c>
      <x:c r="Q28" s="89" t="n">
        <x:v>5.967708333333331</x:v>
      </x:c>
      <x:c r="R28" s="90" t="n">
        <x:v>0</x:v>
      </x:c>
      <x:c r="S28" s="90" t="n">
        <x:v>1</x:v>
      </x:c>
      <x:c r="T28" s="91" t="n">
        <x:v>1</x:v>
      </x:c>
      <x:c r="U28" s="90" t="n">
        <x:v>0</x:v>
      </x:c>
      <x:c r="V28" s="90" t="n">
        <x:v>1</x:v>
      </x:c>
      <x:c r="W28" s="91" t="n">
        <x:v>1</x:v>
      </x:c>
      <x:c r="X28" s="90" t="n">
        <x:v>0</x:v>
      </x:c>
      <x:c r="Y28" s="90" t="n">
        <x:v>0</x:v>
      </x:c>
      <x:c r="Z28" s="91" t="n">
        <x:v>0</x:v>
      </x:c>
    </x:row>
    <x:row r="29" ht="19" customHeight="1">
      <x:c r="A29" s="90" t="n">
        <x:v>1992</x:v>
      </x:c>
      <x:c r="B29" s="88" t="n">
        <x:v>33848</x:v>
      </x:c>
      <x:c r="C29" s="88" t="n">
        <x:v>33844</x:v>
      </x:c>
      <x:c r="D29" s="90" t="n">
        <x:v>0</x:v>
      </x:c>
      <x:c r="E29" s="90" t="n">
        <x:v>4</x:v>
      </x:c>
      <x:c r="F29" s="67" t="n">
        <x:v>21.139583333333334</x:v>
      </x:c>
      <x:c r="G29" s="67" t="n">
        <x:v>22.821875</x:v>
      </x:c>
      <x:c r="H29" s="89" t="n">
        <x:v>1.6822916666666643</x:v>
      </x:c>
      <x:c r="I29" s="67" t="n">
        <x:v>29.5</x:v>
      </x:c>
      <x:c r="J29" s="67" t="n">
        <x:v>32.9</x:v>
      </x:c>
      <x:c r="K29" s="89" t="n">
        <x:v>3.3999999999999986</x:v>
      </x:c>
      <x:c r="L29" s="67" t="n">
        <x:v>15</x:v>
      </x:c>
      <x:c r="M29" s="67" t="n">
        <x:v>14.1</x:v>
      </x:c>
      <x:c r="N29" s="89" t="n">
        <x:v>-0.9000000000000004</x:v>
      </x:c>
      <x:c r="O29" s="67" t="n">
        <x:v>21.304166666666667</x:v>
      </x:c>
      <x:c r="P29" s="67" t="n">
        <x:v>20.695833333333333</x:v>
      </x:c>
      <x:c r="Q29" s="89" t="n">
        <x:v>-0.6083333333333343</x:v>
      </x:c>
      <x:c r="R29" s="90" t="n">
        <x:v>0</x:v>
      </x:c>
      <x:c r="S29" s="90" t="n">
        <x:v>1</x:v>
      </x:c>
      <x:c r="T29" s="91" t="n">
        <x:v>1</x:v>
      </x:c>
      <x:c r="U29" s="90" t="n">
        <x:v>0</x:v>
      </x:c>
      <x:c r="V29" s="90" t="n">
        <x:v>1</x:v>
      </x:c>
      <x:c r="W29" s="91" t="n">
        <x:v>1</x:v>
      </x:c>
      <x:c r="X29" s="90" t="n">
        <x:v>0</x:v>
      </x:c>
      <x:c r="Y29" s="90" t="n">
        <x:v>0</x:v>
      </x:c>
      <x:c r="Z29" s="91" t="n">
        <x:v>0</x:v>
      </x:c>
    </x:row>
    <x:row r="30" ht="19" customHeight="1">
      <x:c r="A30" s="90" t="n">
        <x:v>1993</x:v>
      </x:c>
      <x:c r="B30" s="88" t="n">
        <x:v>34213</x:v>
      </x:c>
      <x:c r="C30" s="88" t="n">
        <x:v>34208</x:v>
      </x:c>
      <x:c r="D30" s="90" t="n">
        <x:v>0</x:v>
      </x:c>
      <x:c r="E30" s="90" t="n">
        <x:v>5</x:v>
      </x:c>
      <x:c r="F30" s="67" t="n">
        <x:v>22.209375</x:v>
      </x:c>
      <x:c r="G30" s="67" t="n">
        <x:v>18.866666666666667</x:v>
      </x:c>
      <x:c r="H30" s="89" t="n">
        <x:v>-3.3427083333333343</x:v>
      </x:c>
      <x:c r="I30" s="67" t="n">
        <x:v>30.8</x:v>
      </x:c>
      <x:c r="J30" s="67" t="n">
        <x:v>25</x:v>
      </x:c>
      <x:c r="K30" s="89" t="n">
        <x:v>-5.800000000000001</x:v>
      </x:c>
      <x:c r="L30" s="67" t="n">
        <x:v>14.7</x:v>
      </x:c>
      <x:c r="M30" s="67" t="n">
        <x:v>14</x:v>
      </x:c>
      <x:c r="N30" s="89" t="n">
        <x:v>-0.6999999999999993</x:v>
      </x:c>
      <x:c r="O30" s="67" t="n">
        <x:v>22.265625</x:v>
      </x:c>
      <x:c r="P30" s="67" t="n">
        <x:v>17.418750000000003</x:v>
      </x:c>
      <x:c r="Q30" s="89" t="n">
        <x:v>-4.846874999999997</x:v>
      </x:c>
      <x:c r="R30" s="90" t="n">
        <x:v>1</x:v>
      </x:c>
      <x:c r="S30" s="90" t="n">
        <x:v>0</x:v>
      </x:c>
      <x:c r="T30" s="91" t="n">
        <x:v>-1</x:v>
      </x:c>
      <x:c r="U30" s="90" t="n">
        <x:v>0</x:v>
      </x:c>
      <x:c r="V30" s="90" t="n">
        <x:v>0</x:v>
      </x:c>
      <x:c r="W30" s="91" t="n">
        <x:v>0</x:v>
      </x:c>
      <x:c r="X30" s="90" t="n">
        <x:v>0</x:v>
      </x:c>
      <x:c r="Y30" s="90" t="n">
        <x:v>0</x:v>
      </x:c>
      <x:c r="Z30" s="91" t="n">
        <x:v>0</x:v>
      </x:c>
    </x:row>
    <x:row r="31" ht="19" customHeight="1">
      <x:c r="A31" s="90" t="n">
        <x:v>1994</x:v>
      </x:c>
      <x:c r="B31" s="88" t="n">
        <x:v>34578</x:v>
      </x:c>
      <x:c r="C31" s="88" t="n">
        <x:v>34572</x:v>
      </x:c>
      <x:c r="D31" s="90" t="n">
        <x:v>0</x:v>
      </x:c>
      <x:c r="E31" s="90" t="n">
        <x:v>6</x:v>
      </x:c>
      <x:c r="F31" s="67" t="n">
        <x:v>22.716666666666665</x:v>
      </x:c>
      <x:c r="G31" s="67" t="n">
        <x:v>25.92291666666667</x:v>
      </x:c>
      <x:c r="H31" s="89" t="n">
        <x:v>3.2062500000000043</x:v>
      </x:c>
      <x:c r="I31" s="67" t="n">
        <x:v>28.5</x:v>
      </x:c>
      <x:c r="J31" s="67" t="n">
        <x:v>34.6</x:v>
      </x:c>
      <x:c r="K31" s="89" t="n">
        <x:v>6.100000000000001</x:v>
      </x:c>
      <x:c r="L31" s="67" t="n">
        <x:v>17.1</x:v>
      </x:c>
      <x:c r="M31" s="67" t="n">
        <x:v>19.4</x:v>
      </x:c>
      <x:c r="N31" s="89" t="n">
        <x:v>2.299999999999997</x:v>
      </x:c>
      <x:c r="O31" s="67" t="n">
        <x:v>23.5875</x:v>
      </x:c>
      <x:c r="P31" s="67" t="n">
        <x:v>26.54895833333333</x:v>
      </x:c>
      <x:c r="Q31" s="89" t="n">
        <x:v>2.961458333333333</x:v>
      </x:c>
      <x:c r="R31" s="90" t="n">
        <x:v>0</x:v>
      </x:c>
      <x:c r="S31" s="90" t="n">
        <x:v>1</x:v>
      </x:c>
      <x:c r="T31" s="91" t="n">
        <x:v>1</x:v>
      </x:c>
      <x:c r="U31" s="90" t="n">
        <x:v>0</x:v>
      </x:c>
      <x:c r="V31" s="90" t="n">
        <x:v>1</x:v>
      </x:c>
      <x:c r="W31" s="91" t="n">
        <x:v>1</x:v>
      </x:c>
      <x:c r="X31" s="90" t="n">
        <x:v>0</x:v>
      </x:c>
      <x:c r="Y31" s="90" t="n">
        <x:v>0</x:v>
      </x:c>
      <x:c r="Z31" s="91" t="n">
        <x:v>0</x:v>
      </x:c>
    </x:row>
    <x:row r="32" ht="19" customHeight="1">
      <x:c r="A32" s="90" t="n">
        <x:v>1995</x:v>
      </x:c>
      <x:c r="B32" s="88" t="n">
        <x:v>34943</x:v>
      </x:c>
      <x:c r="C32" s="88" t="n">
        <x:v>34936</x:v>
      </x:c>
      <x:c r="D32" s="90" t="n">
        <x:v>0</x:v>
      </x:c>
      <x:c r="E32" s="90" t="n">
        <x:v>7</x:v>
      </x:c>
      <x:c r="F32" s="67" t="n">
        <x:v>22.964583333333334</x:v>
      </x:c>
      <x:c r="G32" s="67" t="n">
        <x:v>21.985416666666666</x:v>
      </x:c>
      <x:c r="H32" s="89" t="n">
        <x:v>-0.9791666666666679</x:v>
      </x:c>
      <x:c r="I32" s="67" t="n">
        <x:v>30</x:v>
      </x:c>
      <x:c r="J32" s="67" t="n">
        <x:v>31.1</x:v>
      </x:c>
      <x:c r="K32" s="89" t="n">
        <x:v>1.1000000000000014</x:v>
      </x:c>
      <x:c r="L32" s="67" t="n">
        <x:v>16.4</x:v>
      </x:c>
      <x:c r="M32" s="67" t="n">
        <x:v>15.5</x:v>
      </x:c>
      <x:c r="N32" s="89" t="n">
        <x:v>-0.8999999999999986</x:v>
      </x:c>
      <x:c r="O32" s="67" t="n">
        <x:v>22.967708333333334</x:v>
      </x:c>
      <x:c r="P32" s="67" t="n">
        <x:v>22.869791666666668</x:v>
      </x:c>
      <x:c r="Q32" s="89" t="n">
        <x:v>-0.09791666666666643</x:v>
      </x:c>
      <x:c r="R32" s="90" t="n">
        <x:v>0</x:v>
      </x:c>
      <x:c r="S32" s="90" t="n">
        <x:v>1</x:v>
      </x:c>
      <x:c r="T32" s="91" t="n">
        <x:v>1</x:v>
      </x:c>
      <x:c r="U32" s="90" t="n">
        <x:v>0</x:v>
      </x:c>
      <x:c r="V32" s="90" t="n">
        <x:v>0</x:v>
      </x:c>
      <x:c r="W32" s="91" t="n">
        <x:v>0</x:v>
      </x:c>
      <x:c r="X32" s="90" t="n">
        <x:v>0</x:v>
      </x:c>
      <x:c r="Y32" s="90" t="n">
        <x:v>0</x:v>
      </x:c>
      <x:c r="Z32" s="91" t="n">
        <x:v>0</x:v>
      </x:c>
    </x:row>
    <x:row r="33" ht="19" customHeight="1">
      <x:c r="A33" s="90" t="n">
        <x:v>1998</x:v>
      </x:c>
      <x:c r="B33" s="88" t="n">
        <x:v>36039</x:v>
      </x:c>
      <x:c r="C33" s="88" t="n">
        <x:v>36035</x:v>
      </x:c>
      <x:c r="D33" s="90" t="n">
        <x:v>0</x:v>
      </x:c>
      <x:c r="E33" s="90" t="n">
        <x:v>4</x:v>
      </x:c>
      <x:c r="F33" s="67" t="n">
        <x:v>25.26770833333333</x:v>
      </x:c>
      <x:c r="G33" s="67" t="n">
        <x:v>22.9625</x:v>
      </x:c>
      <x:c r="H33" s="89" t="n">
        <x:v>-2.305208333333333</x:v>
      </x:c>
      <x:c r="I33" s="67" t="n">
        <x:v>32.9</x:v>
      </x:c>
      <x:c r="J33" s="67" t="n">
        <x:v>29.3</x:v>
      </x:c>
      <x:c r="K33" s="89" t="n">
        <x:v>-3.599999999999998</x:v>
      </x:c>
      <x:c r="L33" s="67" t="n">
        <x:v>18.6</x:v>
      </x:c>
      <x:c r="M33" s="67" t="n">
        <x:v>18.1</x:v>
      </x:c>
      <x:c r="N33" s="89" t="n">
        <x:v>-0.5</x:v>
      </x:c>
      <x:c r="O33" s="67" t="n">
        <x:v>26.446875</x:v>
      </x:c>
      <x:c r="P33" s="67" t="n">
        <x:v>24.405208333333334</x:v>
      </x:c>
      <x:c r="Q33" s="89" t="n">
        <x:v>-2.0416666666666643</x:v>
      </x:c>
      <x:c r="R33" s="90" t="n">
        <x:v>1</x:v>
      </x:c>
      <x:c r="S33" s="90" t="n">
        <x:v>0</x:v>
      </x:c>
      <x:c r="T33" s="91" t="n">
        <x:v>-1</x:v>
      </x:c>
      <x:c r="U33" s="90" t="n">
        <x:v>1</x:v>
      </x:c>
      <x:c r="V33" s="90" t="n">
        <x:v>0</x:v>
      </x:c>
      <x:c r="W33" s="91" t="n">
        <x:v>-1</x:v>
      </x:c>
      <x:c r="X33" s="90" t="n">
        <x:v>0</x:v>
      </x:c>
      <x:c r="Y33" s="90" t="n">
        <x:v>0</x:v>
      </x:c>
      <x:c r="Z33" s="91" t="n">
        <x:v>0</x:v>
      </x:c>
    </x:row>
    <x:row r="34" ht="19" customHeight="1">
      <x:c r="A34" s="90" t="n">
        <x:v>1999</x:v>
      </x:c>
      <x:c r="B34" s="88" t="n">
        <x:v>36404</x:v>
      </x:c>
      <x:c r="C34" s="88" t="n">
        <x:v>36399</x:v>
      </x:c>
      <x:c r="D34" s="90" t="n">
        <x:v>0</x:v>
      </x:c>
      <x:c r="E34" s="90" t="n">
        <x:v>5</x:v>
      </x:c>
      <x:c r="F34" s="67" t="n">
        <x:v>24.186458333333334</x:v>
      </x:c>
      <x:c r="G34" s="67" t="n">
        <x:v>25.44375</x:v>
      </x:c>
      <x:c r="H34" s="89" t="n">
        <x:v>1.2572916666666671</x:v>
      </x:c>
      <x:c r="I34" s="67" t="n">
        <x:v>32.6</x:v>
      </x:c>
      <x:c r="J34" s="67" t="n">
        <x:v>34</x:v>
      </x:c>
      <x:c r="K34" s="89" t="n">
        <x:v>1.3999999999999986</x:v>
      </x:c>
      <x:c r="L34" s="67" t="n">
        <x:v>19.4</x:v>
      </x:c>
      <x:c r="M34" s="67" t="n">
        <x:v>19.3</x:v>
      </x:c>
      <x:c r="N34" s="89" t="n">
        <x:v>-0.09999999999999787</x:v>
      </x:c>
      <x:c r="O34" s="67" t="n">
        <x:v>24.98645833333333</x:v>
      </x:c>
      <x:c r="P34" s="67" t="n">
        <x:v>26.901041666666668</x:v>
      </x:c>
      <x:c r="Q34" s="89" t="n">
        <x:v>1.9145833333333364</x:v>
      </x:c>
      <x:c r="R34" s="90" t="n">
        <x:v>1</x:v>
      </x:c>
      <x:c r="S34" s="90" t="n">
        <x:v>1</x:v>
      </x:c>
      <x:c r="T34" s="91" t="n">
        <x:v>0</x:v>
      </x:c>
      <x:c r="U34" s="90" t="n">
        <x:v>1</x:v>
      </x:c>
      <x:c r="V34" s="90" t="n">
        <x:v>1</x:v>
      </x:c>
      <x:c r="W34" s="91" t="n">
        <x:v>0</x:v>
      </x:c>
      <x:c r="X34" s="90" t="n">
        <x:v>0</x:v>
      </x:c>
      <x:c r="Y34" s="90" t="n">
        <x:v>0</x:v>
      </x:c>
      <x:c r="Z34" s="91" t="n">
        <x:v>0</x:v>
      </x:c>
    </x:row>
    <x:row r="35" ht="19" customHeight="1">
      <x:c r="A35" s="90" t="n">
        <x:v>2000</x:v>
      </x:c>
      <x:c r="B35" s="88" t="n">
        <x:v>36770</x:v>
      </x:c>
      <x:c r="C35" s="88" t="n">
        <x:v>36763</x:v>
      </x:c>
      <x:c r="D35" s="90" t="n">
        <x:v>0</x:v>
      </x:c>
      <x:c r="E35" s="90" t="n">
        <x:v>7</x:v>
      </x:c>
      <x:c r="F35" s="67" t="n">
        <x:v>22.592708333333334</x:v>
      </x:c>
      <x:c r="G35" s="67" t="n">
        <x:v>24.681250000000002</x:v>
      </x:c>
      <x:c r="H35" s="89" t="n">
        <x:v>2.088541666666668</x:v>
      </x:c>
      <x:c r="I35" s="67" t="n">
        <x:v>30</x:v>
      </x:c>
      <x:c r="J35" s="67" t="n">
        <x:v>32.9</x:v>
      </x:c>
      <x:c r="K35" s="89" t="n">
        <x:v>2.8999999999999986</x:v>
      </x:c>
      <x:c r="L35" s="67" t="n">
        <x:v>13.4</x:v>
      </x:c>
      <x:c r="M35" s="67" t="n">
        <x:v>17.3</x:v>
      </x:c>
      <x:c r="N35" s="89" t="n">
        <x:v>3.9000000000000004</x:v>
      </x:c>
      <x:c r="O35" s="67" t="n">
        <x:v>24.3</x:v>
      </x:c>
      <x:c r="P35" s="67" t="n">
        <x:v>24.5375</x:v>
      </x:c>
      <x:c r="Q35" s="89" t="n">
        <x:v>0.2375000000000007</x:v>
      </x:c>
      <x:c r="R35" s="90" t="n">
        <x:v>0</x:v>
      </x:c>
      <x:c r="S35" s="90" t="n">
        <x:v>1</x:v>
      </x:c>
      <x:c r="T35" s="91" t="n">
        <x:v>1</x:v>
      </x:c>
      <x:c r="U35" s="90" t="n">
        <x:v>0</x:v>
      </x:c>
      <x:c r="V35" s="90" t="n">
        <x:v>1</x:v>
      </x:c>
      <x:c r="W35" s="91" t="n">
        <x:v>1</x:v>
      </x:c>
      <x:c r="X35" s="90" t="n">
        <x:v>0</x:v>
      </x:c>
      <x:c r="Y35" s="90" t="n">
        <x:v>0</x:v>
      </x:c>
      <x:c r="Z35" s="91" t="n">
        <x:v>0</x:v>
      </x:c>
    </x:row>
    <x:row r="36" ht="19" customHeight="1">
      <x:c r="A36" s="90" t="n">
        <x:v>2004</x:v>
      </x:c>
      <x:c r="B36" s="88" t="n">
        <x:v>38231</x:v>
      </x:c>
      <x:c r="C36" s="88" t="n">
        <x:v>38226</x:v>
      </x:c>
      <x:c r="D36" s="90" t="n">
        <x:v>0</x:v>
      </x:c>
      <x:c r="E36" s="90" t="n">
        <x:v>5</x:v>
      </x:c>
      <x:c r="F36" s="67" t="n">
        <x:v>21.711458333333333</x:v>
      </x:c>
      <x:c r="G36" s="67" t="n">
        <x:v>22.496875</x:v>
      </x:c>
      <x:c r="H36" s="89" t="n">
        <x:v>0.7854166666666664</x:v>
      </x:c>
      <x:c r="I36" s="67" t="n">
        <x:v>27.6</x:v>
      </x:c>
      <x:c r="J36" s="67" t="n">
        <x:v>28.4</x:v>
      </x:c>
      <x:c r="K36" s="89" t="n">
        <x:v>0.7999999999999972</x:v>
      </x:c>
      <x:c r="L36" s="67" t="n">
        <x:v>16.9</x:v>
      </x:c>
      <x:c r="M36" s="67" t="n">
        <x:v>18.4</x:v>
      </x:c>
      <x:c r="N36" s="89" t="n">
        <x:v>1.5</x:v>
      </x:c>
      <x:c r="O36" s="67" t="n">
        <x:v>22.915625</x:v>
      </x:c>
      <x:c r="P36" s="67" t="n">
        <x:v>24.452083333333334</x:v>
      </x:c>
      <x:c r="Q36" s="89" t="n">
        <x:v>1.5364583333333357</x:v>
      </x:c>
      <x:c r="R36" s="90" t="n">
        <x:v>0</x:v>
      </x:c>
      <x:c r="S36" s="90" t="n">
        <x:v>0</x:v>
      </x:c>
      <x:c r="T36" s="91" t="n">
        <x:v>0</x:v>
      </x:c>
      <x:c r="U36" s="90" t="n">
        <x:v>0</x:v>
      </x:c>
      <x:c r="V36" s="90" t="n">
        <x:v>0</x:v>
      </x:c>
      <x:c r="W36" s="91" t="n">
        <x:v>0</x:v>
      </x:c>
      <x:c r="X36" s="90" t="n">
        <x:v>0</x:v>
      </x:c>
      <x:c r="Y36" s="90" t="n">
        <x:v>0</x:v>
      </x:c>
      <x:c r="Z36" s="91" t="n">
        <x:v>0</x:v>
      </x:c>
    </x:row>
    <x:row r="37" ht="19" customHeight="1">
      <x:c r="A37" s="90" t="n">
        <x:v>2005</x:v>
      </x:c>
      <x:c r="B37" s="88" t="n">
        <x:v>38596</x:v>
      </x:c>
      <x:c r="C37" s="88" t="n">
        <x:v>38590</x:v>
      </x:c>
      <x:c r="D37" s="90" t="n">
        <x:v>0</x:v>
      </x:c>
      <x:c r="E37" s="90" t="n">
        <x:v>6</x:v>
      </x:c>
      <x:c r="F37" s="67" t="n">
        <x:v>23.361458333333335</x:v>
      </x:c>
      <x:c r="G37" s="67" t="n">
        <x:v>23.546875</x:v>
      </x:c>
      <x:c r="H37" s="89" t="n">
        <x:v>0.185416666666665</x:v>
      </x:c>
      <x:c r="I37" s="67" t="n">
        <x:v>32</x:v>
      </x:c>
      <x:c r="J37" s="67" t="n">
        <x:v>32.2</x:v>
      </x:c>
      <x:c r="K37" s="89" t="n">
        <x:v>0.20000000000000284</x:v>
      </x:c>
      <x:c r="L37" s="67" t="n">
        <x:v>17</x:v>
      </x:c>
      <x:c r="M37" s="67" t="n">
        <x:v>18.4</x:v>
      </x:c>
      <x:c r="N37" s="89" t="n">
        <x:v>1.3999999999999986</x:v>
      </x:c>
      <x:c r="O37" s="67" t="n">
        <x:v>23.998958333333334</x:v>
      </x:c>
      <x:c r="P37" s="67" t="n">
        <x:v>24.869791666666668</x:v>
      </x:c>
      <x:c r="Q37" s="89" t="n">
        <x:v>0.8708333333333336</x:v>
      </x:c>
      <x:c r="R37" s="90" t="n">
        <x:v>1</x:v>
      </x:c>
      <x:c r="S37" s="90" t="n">
        <x:v>1</x:v>
      </x:c>
      <x:c r="T37" s="91" t="n">
        <x:v>0</x:v>
      </x:c>
      <x:c r="U37" s="90" t="n">
        <x:v>0</x:v>
      </x:c>
      <x:c r="V37" s="90" t="n">
        <x:v>1</x:v>
      </x:c>
      <x:c r="W37" s="91" t="n">
        <x:v>1</x:v>
      </x:c>
      <x:c r="X37" s="90" t="n">
        <x:v>0</x:v>
      </x:c>
      <x:c r="Y37" s="90" t="n">
        <x:v>0</x:v>
      </x:c>
      <x:c r="Z37" s="91" t="n">
        <x:v>0</x:v>
      </x:c>
    </x:row>
    <x:row r="38" ht="19" customHeight="1">
      <x:c r="A38" s="90" t="n">
        <x:v>2006</x:v>
      </x:c>
      <x:c r="B38" s="88" t="n">
        <x:v>38961</x:v>
      </x:c>
      <x:c r="C38" s="88" t="n">
        <x:v>38954</x:v>
      </x:c>
      <x:c r="D38" s="90" t="n">
        <x:v>0</x:v>
      </x:c>
      <x:c r="E38" s="90" t="n">
        <x:v>7</x:v>
      </x:c>
      <x:c r="F38" s="67" t="n">
        <x:v>24.019791666666666</x:v>
      </x:c>
      <x:c r="G38" s="67" t="n">
        <x:v>23.1375</x:v>
      </x:c>
      <x:c r="H38" s="89" t="n">
        <x:v>-0.8822916666666671</x:v>
      </x:c>
      <x:c r="I38" s="67" t="n">
        <x:v>31.5</x:v>
      </x:c>
      <x:c r="J38" s="67" t="n">
        <x:v>32.2</x:v>
      </x:c>
      <x:c r="K38" s="89" t="n">
        <x:v>0.7000000000000028</x:v>
      </x:c>
      <x:c r="L38" s="67" t="n">
        <x:v>18</x:v>
      </x:c>
      <x:c r="M38" s="67" t="n">
        <x:v>17.4</x:v>
      </x:c>
      <x:c r="N38" s="89" t="n">
        <x:v>-0.6000000000000014</x:v>
      </x:c>
      <x:c r="O38" s="67" t="n">
        <x:v>25.383333333333333</x:v>
      </x:c>
      <x:c r="P38" s="67" t="n">
        <x:v>23.9875</x:v>
      </x:c>
      <x:c r="Q38" s="89" t="n">
        <x:v>-1.3958333333333321</x:v>
      </x:c>
      <x:c r="R38" s="90" t="n">
        <x:v>1</x:v>
      </x:c>
      <x:c r="S38" s="90" t="n">
        <x:v>1</x:v>
      </x:c>
      <x:c r="T38" s="91" t="n">
        <x:v>0</x:v>
      </x:c>
      <x:c r="U38" s="90" t="n">
        <x:v>0</x:v>
      </x:c>
      <x:c r="V38" s="90" t="n">
        <x:v>1</x:v>
      </x:c>
      <x:c r="W38" s="91" t="n">
        <x:v>1</x:v>
      </x:c>
      <x:c r="X38" s="90" t="n">
        <x:v>0</x:v>
      </x:c>
      <x:c r="Y38" s="90" t="n">
        <x:v>0</x:v>
      </x:c>
      <x:c r="Z38" s="91" t="n">
        <x:v>0</x:v>
      </x:c>
    </x:row>
    <x:row r="39" ht="19" customHeight="1">
      <x:c r="A39" s="90" t="n">
        <x:v>2009</x:v>
      </x:c>
      <x:c r="B39" s="88" t="n">
        <x:v>40057</x:v>
      </x:c>
      <x:c r="C39" s="88" t="n">
        <x:v>40053</x:v>
      </x:c>
      <x:c r="D39" s="90" t="n">
        <x:v>0</x:v>
      </x:c>
      <x:c r="E39" s="90" t="n">
        <x:v>4</x:v>
      </x:c>
      <x:c r="F39" s="67" t="n">
        <x:v>25.671875</x:v>
      </x:c>
      <x:c r="G39" s="67" t="n">
        <x:v>24.305208333333333</x:v>
      </x:c>
      <x:c r="H39" s="89" t="n">
        <x:v>-1.3666666666666671</x:v>
      </x:c>
      <x:c r="I39" s="67" t="n">
        <x:v>34.7</x:v>
      </x:c>
      <x:c r="J39" s="67" t="n">
        <x:v>31.8</x:v>
      </x:c>
      <x:c r="K39" s="89" t="n">
        <x:v>-2.900000000000002</x:v>
      </x:c>
      <x:c r="L39" s="67" t="n">
        <x:v>19.4</x:v>
      </x:c>
      <x:c r="M39" s="67" t="n">
        <x:v>18.8</x:v>
      </x:c>
      <x:c r="N39" s="89" t="n">
        <x:v>-0.5999999999999979</x:v>
      </x:c>
      <x:c r="O39" s="67" t="n">
        <x:v>26.182291666666664</x:v>
      </x:c>
      <x:c r="P39" s="67" t="n">
        <x:v>26.188541666666666</x:v>
      </x:c>
      <x:c r="Q39" s="89" t="n">
        <x:v>0.006250000000001421</x:v>
      </x:c>
      <x:c r="R39" s="90" t="n">
        <x:v>1</x:v>
      </x:c>
      <x:c r="S39" s="90" t="n">
        <x:v>1</x:v>
      </x:c>
      <x:c r="T39" s="91" t="n">
        <x:v>0</x:v>
      </x:c>
      <x:c r="U39" s="90" t="n">
        <x:v>1</x:v>
      </x:c>
      <x:c r="V39" s="90" t="n">
        <x:v>0</x:v>
      </x:c>
      <x:c r="W39" s="91" t="n">
        <x:v>-1</x:v>
      </x:c>
      <x:c r="X39" s="90" t="n">
        <x:v>0</x:v>
      </x:c>
      <x:c r="Y39" s="90" t="n">
        <x:v>0</x:v>
      </x:c>
      <x:c r="Z39" s="91" t="n">
        <x:v>0</x:v>
      </x:c>
    </x:row>
    <x:row r="40" ht="19" customHeight="1">
      <x:c r="A40" s="90" t="n">
        <x:v>2010</x:v>
      </x:c>
      <x:c r="B40" s="88" t="n">
        <x:v>40422</x:v>
      </x:c>
      <x:c r="C40" s="88" t="n">
        <x:v>40417</x:v>
      </x:c>
      <x:c r="D40" s="90" t="n">
        <x:v>0</x:v>
      </x:c>
      <x:c r="E40" s="90" t="n">
        <x:v>5</x:v>
      </x:c>
      <x:c r="F40" s="67" t="n">
        <x:v>21.469791666666666</x:v>
      </x:c>
      <x:c r="G40" s="67" t="n">
        <x:v>25.688541666666666</x:v>
      </x:c>
      <x:c r="H40" s="89" t="n">
        <x:v>4.21875</x:v>
      </x:c>
      <x:c r="I40" s="67" t="n">
        <x:v>29.7</x:v>
      </x:c>
      <x:c r="J40" s="67" t="n">
        <x:v>39.1</x:v>
      </x:c>
      <x:c r="K40" s="89" t="n">
        <x:v>9.400000000000002</x:v>
      </x:c>
      <x:c r="L40" s="67" t="n">
        <x:v>15.8</x:v>
      </x:c>
      <x:c r="M40" s="67" t="n">
        <x:v>18.4</x:v>
      </x:c>
      <x:c r="N40" s="89" t="n">
        <x:v>2.599999999999998</x:v>
      </x:c>
      <x:c r="O40" s="67" t="n">
        <x:v>22.071875</x:v>
      </x:c>
      <x:c r="P40" s="67" t="n">
        <x:v>26.51875</x:v>
      </x:c>
      <x:c r="Q40" s="89" t="n">
        <x:v>4.446875000000002</x:v>
      </x:c>
      <x:c r="R40" s="90" t="n">
        <x:v>0</x:v>
      </x:c>
      <x:c r="S40" s="90" t="n">
        <x:v>1</x:v>
      </x:c>
      <x:c r="T40" s="91" t="n">
        <x:v>1</x:v>
      </x:c>
      <x:c r="U40" s="90" t="n">
        <x:v>0</x:v>
      </x:c>
      <x:c r="V40" s="90" t="n">
        <x:v>1</x:v>
      </x:c>
      <x:c r="W40" s="91" t="n">
        <x:v>1</x:v>
      </x:c>
      <x:c r="X40" s="90" t="n">
        <x:v>0</x:v>
      </x:c>
      <x:c r="Y40" s="90" t="n">
        <x:v>1</x:v>
      </x:c>
      <x:c r="Z40" s="91" t="n">
        <x:v>1</x:v>
      </x:c>
    </x:row>
    <x:row r="41" ht="19" customHeight="1">
      <x:c r="A41" s="90" t="n">
        <x:v>2011</x:v>
      </x:c>
      <x:c r="B41" s="88" t="n">
        <x:v>40787</x:v>
      </x:c>
      <x:c r="C41" s="88" t="n">
        <x:v>40781</x:v>
      </x:c>
      <x:c r="D41" s="90" t="n">
        <x:v>0</x:v>
      </x:c>
      <x:c r="E41" s="90" t="n">
        <x:v>6</x:v>
      </x:c>
      <x:c r="F41" s="67" t="n">
        <x:v>21.084375</x:v>
      </x:c>
      <x:c r="G41" s="67" t="n">
        <x:v>23.81041666666667</x:v>
      </x:c>
      <x:c r="H41" s="89" t="n">
        <x:v>2.726041666666667</x:v>
      </x:c>
      <x:c r="I41" s="67" t="n">
        <x:v>28.3</x:v>
      </x:c>
      <x:c r="J41" s="67" t="n">
        <x:v>31.9</x:v>
      </x:c>
      <x:c r="K41" s="89" t="n">
        <x:v>3.599999999999998</x:v>
      </x:c>
      <x:c r="L41" s="67" t="n">
        <x:v>14.9</x:v>
      </x:c>
      <x:c r="M41" s="67" t="n">
        <x:v>17.9</x:v>
      </x:c>
      <x:c r="N41" s="89" t="n">
        <x:v>2.9999999999999982</x:v>
      </x:c>
      <x:c r="O41" s="67" t="n">
        <x:v>21.089583333333334</x:v>
      </x:c>
      <x:c r="P41" s="67" t="n">
        <x:v>23.692708333333332</x:v>
      </x:c>
      <x:c r="Q41" s="89" t="n">
        <x:v>2.6031249999999986</x:v>
      </x:c>
      <x:c r="R41" s="90" t="n">
        <x:v>0</x:v>
      </x:c>
      <x:c r="S41" s="90" t="n">
        <x:v>1</x:v>
      </x:c>
      <x:c r="T41" s="91" t="n">
        <x:v>1</x:v>
      </x:c>
      <x:c r="U41" s="90" t="n">
        <x:v>0</x:v>
      </x:c>
      <x:c r="V41" s="90" t="n">
        <x:v>0</x:v>
      </x:c>
      <x:c r="W41" s="91" t="n">
        <x:v>0</x:v>
      </x:c>
      <x:c r="X41" s="90" t="n">
        <x:v>0</x:v>
      </x:c>
      <x:c r="Y41" s="90" t="n">
        <x:v>0</x:v>
      </x:c>
      <x:c r="Z41" s="91" t="n">
        <x:v>0</x:v>
      </x:c>
    </x:row>
    <x:row r="42" ht="19" customHeight="1">
      <x:c r="A42" s="90" t="n">
        <x:v>2015</x:v>
      </x:c>
      <x:c r="B42" s="88" t="n">
        <x:v>42248</x:v>
      </x:c>
      <x:c r="C42" s="88" t="n">
        <x:v>42244</x:v>
      </x:c>
      <x:c r="D42" s="90" t="n">
        <x:v>0</x:v>
      </x:c>
      <x:c r="E42" s="90" t="n">
        <x:v>4</x:v>
      </x:c>
      <x:c r="F42" s="67" t="n">
        <x:v>21.778125</x:v>
      </x:c>
      <x:c r="G42" s="67" t="n">
        <x:v>25.202083333333334</x:v>
      </x:c>
      <x:c r="H42" s="89" t="n">
        <x:v>3.423958333333335</x:v>
      </x:c>
      <x:c r="I42" s="67" t="n">
        <x:v>28.7</x:v>
      </x:c>
      <x:c r="J42" s="67" t="n">
        <x:v>33</x:v>
      </x:c>
      <x:c r="K42" s="89" t="n">
        <x:v>4.300000000000001</x:v>
      </x:c>
      <x:c r="L42" s="67" t="n">
        <x:v>16.6</x:v>
      </x:c>
      <x:c r="M42" s="67" t="n">
        <x:v>19.2</x:v>
      </x:c>
      <x:c r="N42" s="89" t="n">
        <x:v>2.599999999999998</x:v>
      </x:c>
      <x:c r="O42" s="67" t="n">
        <x:v>23.51770833333333</x:v>
      </x:c>
      <x:c r="P42" s="67" t="n">
        <x:v>26.682291666666664</x:v>
      </x:c>
      <x:c r="Q42" s="89" t="n">
        <x:v>3.164583333333333</x:v>
      </x:c>
      <x:c r="R42" s="90" t="n">
        <x:v>0</x:v>
      </x:c>
      <x:c r="S42" s="90" t="n">
        <x:v>1</x:v>
      </x:c>
      <x:c r="T42" s="91" t="n">
        <x:v>1</x:v>
      </x:c>
      <x:c r="U42" s="90" t="n">
        <x:v>0</x:v>
      </x:c>
      <x:c r="V42" s="90" t="n">
        <x:v>1</x:v>
      </x:c>
      <x:c r="W42" s="91" t="n">
        <x:v>1</x:v>
      </x:c>
      <x:c r="X42" s="90" t="n">
        <x:v>0</x:v>
      </x:c>
      <x:c r="Y42" s="90" t="n">
        <x:v>0</x:v>
      </x:c>
      <x:c r="Z42" s="91" t="n">
        <x:v>0</x:v>
      </x:c>
    </x:row>
    <x:row r="43" ht="19" customHeight="1">
      <x:c r="A43" s="90" t="n">
        <x:v>2016</x:v>
      </x:c>
      <x:c r="B43" s="88" t="n">
        <x:v>42614</x:v>
      </x:c>
      <x:c r="C43" s="88" t="n">
        <x:v>42608</x:v>
      </x:c>
      <x:c r="D43" s="90" t="n">
        <x:v>0</x:v>
      </x:c>
      <x:c r="E43" s="90" t="n">
        <x:v>6</x:v>
      </x:c>
      <x:c r="F43" s="67" t="n">
        <x:v>24.638541666666665</x:v>
      </x:c>
      <x:c r="G43" s="67" t="n">
        <x:v>24.91979166666667</x:v>
      </x:c>
      <x:c r="H43" s="89" t="n">
        <x:v>0.28125000000000355</x:v>
      </x:c>
      <x:c r="I43" s="67" t="n">
        <x:v>35.3</x:v>
      </x:c>
      <x:c r="J43" s="67" t="n">
        <x:v>33.5</x:v>
      </x:c>
      <x:c r="K43" s="89" t="n">
        <x:v>-1.7999999999999972</x:v>
      </x:c>
      <x:c r="L43" s="67" t="n">
        <x:v>17.7</x:v>
      </x:c>
      <x:c r="M43" s="67" t="n">
        <x:v>18.3</x:v>
      </x:c>
      <x:c r="N43" s="89" t="n">
        <x:v>0.6000000000000014</x:v>
      </x:c>
      <x:c r="O43" s="67" t="n">
        <x:v>25.190625</x:v>
      </x:c>
      <x:c r="P43" s="67" t="n">
        <x:v>26.317708333333332</x:v>
      </x:c>
      <x:c r="Q43" s="89" t="n">
        <x:v>1.1270833333333314</x:v>
      </x:c>
      <x:c r="R43" s="90" t="n">
        <x:v>1</x:v>
      </x:c>
      <x:c r="S43" s="90" t="n">
        <x:v>1</x:v>
      </x:c>
      <x:c r="T43" s="91" t="n">
        <x:v>0</x:v>
      </x:c>
      <x:c r="U43" s="90" t="n">
        <x:v>1</x:v>
      </x:c>
      <x:c r="V43" s="90" t="n">
        <x:v>1</x:v>
      </x:c>
      <x:c r="W43" s="91" t="n">
        <x:v>0</x:v>
      </x:c>
      <x:c r="X43" s="90" t="n">
        <x:v>1</x:v>
      </x:c>
      <x:c r="Y43" s="90" t="n">
        <x:v>0</x:v>
      </x:c>
      <x:c r="Z43" s="91" t="n">
        <x:v>-1</x:v>
      </x:c>
    </x:row>
    <x:row r="44" ht="19" customHeight="1">
      <x:c r="A44" s="90" t="n">
        <x:v>2017</x:v>
      </x:c>
      <x:c r="B44" s="88" t="n">
        <x:v>42979</x:v>
      </x:c>
      <x:c r="C44" s="88" t="n">
        <x:v>42972</x:v>
      </x:c>
      <x:c r="D44" s="90" t="n">
        <x:v>0</x:v>
      </x:c>
      <x:c r="E44" s="90" t="n">
        <x:v>7</x:v>
      </x:c>
      <x:c r="F44" s="67" t="n">
        <x:v>20.873958333333334</x:v>
      </x:c>
      <x:c r="G44" s="67" t="n">
        <x:v>25.578125</x:v>
      </x:c>
      <x:c r="H44" s="89" t="n">
        <x:v>4.704166666666666</x:v>
      </x:c>
      <x:c r="I44" s="67" t="n">
        <x:v>29</x:v>
      </x:c>
      <x:c r="J44" s="67" t="n">
        <x:v>34.1</x:v>
      </x:c>
      <x:c r="K44" s="89" t="n">
        <x:v>5.100000000000001</x:v>
      </x:c>
      <x:c r="L44" s="67" t="n">
        <x:v>14.9</x:v>
      </x:c>
      <x:c r="M44" s="67" t="n">
        <x:v>19.9</x:v>
      </x:c>
      <x:c r="N44" s="89" t="n">
        <x:v>4.999999999999998</x:v>
      </x:c>
      <x:c r="O44" s="67" t="n">
        <x:v>22.09166666666667</x:v>
      </x:c>
      <x:c r="P44" s="67" t="n">
        <x:v>26.588541666666668</x:v>
      </x:c>
      <x:c r="Q44" s="89" t="n">
        <x:v>4.496874999999999</x:v>
      </x:c>
      <x:c r="R44" s="90" t="n">
        <x:v>0</x:v>
      </x:c>
      <x:c r="S44" s="90" t="n">
        <x:v>1</x:v>
      </x:c>
      <x:c r="T44" s="91" t="n">
        <x:v>1</x:v>
      </x:c>
      <x:c r="U44" s="90" t="n">
        <x:v>0</x:v>
      </x:c>
      <x:c r="V44" s="90" t="n">
        <x:v>1</x:v>
      </x:c>
      <x:c r="W44" s="91" t="n">
        <x:v>1</x:v>
      </x:c>
      <x:c r="X44" s="90" t="n">
        <x:v>0</x:v>
      </x:c>
      <x:c r="Y44" s="90" t="n">
        <x:v>0</x:v>
      </x:c>
      <x:c r="Z44" s="91" t="n">
        <x:v>0</x:v>
      </x:c>
    </x:row>
    <x:row r="45" ht="19" customHeight="1">
      <x:c r="A45" s="90" t="n">
        <x:v>2020</x:v>
      </x:c>
      <x:c r="B45" s="88" t="n">
        <x:v>44075</x:v>
      </x:c>
      <x:c r="C45" s="88" t="n">
        <x:v>44071</x:v>
      </x:c>
      <x:c r="D45" s="90" t="n">
        <x:v>0</x:v>
      </x:c>
      <x:c r="E45" s="90" t="n">
        <x:v>4</x:v>
      </x:c>
      <x:c r="F45" s="67" t="n">
        <x:v>20.414583333333333</x:v>
      </x:c>
      <x:c r="G45" s="67" t="n">
        <x:v>22.25208333333333</x:v>
      </x:c>
      <x:c r="H45" s="89" t="n">
        <x:v>1.8374999999999986</x:v>
      </x:c>
      <x:c r="I45" s="67" t="n">
        <x:v>26.7</x:v>
      </x:c>
      <x:c r="J45" s="67" t="n">
        <x:v>34</x:v>
      </x:c>
      <x:c r="K45" s="89" t="n">
        <x:v>7.300000000000001</x:v>
      </x:c>
      <x:c r="L45" s="67" t="n">
        <x:v>15.5</x:v>
      </x:c>
      <x:c r="M45" s="67" t="n">
        <x:v>14.2</x:v>
      </x:c>
      <x:c r="N45" s="89" t="n">
        <x:v>-1.3000000000000007</x:v>
      </x:c>
      <x:c r="O45" s="67" t="n">
        <x:v>21.179166666666667</x:v>
      </x:c>
      <x:c r="P45" s="67" t="n">
        <x:v>22.084375</x:v>
      </x:c>
      <x:c r="Q45" s="89" t="n">
        <x:v>0.9052083333333343</x:v>
      </x:c>
      <x:c r="R45" s="90" t="n">
        <x:v>0</x:v>
      </x:c>
      <x:c r="S45" s="90" t="n">
        <x:v>1</x:v>
      </x:c>
      <x:c r="T45" s="91" t="n">
        <x:v>1</x:v>
      </x:c>
      <x:c r="U45" s="90" t="n">
        <x:v>0</x:v>
      </x:c>
      <x:c r="V45" s="90" t="n">
        <x:v>1</x:v>
      </x:c>
      <x:c r="W45" s="91" t="n">
        <x:v>1</x:v>
      </x:c>
      <x:c r="X45" s="90" t="n">
        <x:v>0</x:v>
      </x:c>
      <x:c r="Y45" s="90" t="n">
        <x:v>0</x:v>
      </x:c>
      <x:c r="Z45" s="91" t="n">
        <x:v>0</x:v>
      </x:c>
    </x:row>
    <x:row r="46" ht="19" customHeight="1">
      <x:c r="A46" s="90" t="n">
        <x:v>2021</x:v>
      </x:c>
      <x:c r="B46" s="88" t="n">
        <x:v>44440</x:v>
      </x:c>
      <x:c r="C46" s="88" t="n">
        <x:v>44435</x:v>
      </x:c>
      <x:c r="D46" s="90" t="n">
        <x:v>0</x:v>
      </x:c>
      <x:c r="E46" s="90" t="n">
        <x:v>5</x:v>
      </x:c>
      <x:c r="F46" s="67" t="n">
        <x:v>21.883333333333333</x:v>
      </x:c>
      <x:c r="G46" s="67" t="n">
        <x:v>25.209374999999998</x:v>
      </x:c>
      <x:c r="H46" s="89" t="n">
        <x:v>3.326041666666665</x:v>
      </x:c>
      <x:c r="I46" s="67" t="n">
        <x:v>27.6</x:v>
      </x:c>
      <x:c r="J46" s="67" t="n">
        <x:v>34.1</x:v>
      </x:c>
      <x:c r="K46" s="89" t="n">
        <x:v>6.5</x:v>
      </x:c>
      <x:c r="L46" s="67" t="n">
        <x:v>16.7</x:v>
      </x:c>
      <x:c r="M46" s="67" t="n">
        <x:v>20.5</x:v>
      </x:c>
      <x:c r="N46" s="89" t="n">
        <x:v>3.8000000000000007</x:v>
      </x:c>
      <x:c r="O46" s="67" t="n">
        <x:v>23.76354166666667</x:v>
      </x:c>
      <x:c r="P46" s="67" t="n">
        <x:v>26.68541666666667</x:v>
      </x:c>
      <x:c r="Q46" s="89" t="n">
        <x:v>2.921875</x:v>
      </x:c>
      <x:c r="R46" s="90" t="n">
        <x:v>0</x:v>
      </x:c>
      <x:c r="S46" s="90" t="n">
        <x:v>1</x:v>
      </x:c>
      <x:c r="T46" s="91" t="n">
        <x:v>1</x:v>
      </x:c>
      <x:c r="U46" s="90" t="n">
        <x:v>0</x:v>
      </x:c>
      <x:c r="V46" s="90" t="n">
        <x:v>1</x:v>
      </x:c>
      <x:c r="W46" s="91" t="n">
        <x:v>1</x:v>
      </x:c>
      <x:c r="X46" s="90" t="n">
        <x:v>0</x:v>
      </x:c>
      <x:c r="Y46" s="90" t="n">
        <x:v>0</x:v>
      </x:c>
      <x:c r="Z46" s="91" t="n">
        <x:v>0</x:v>
      </x:c>
    </x:row>
    <x:row r="47" ht="19" customHeight="1">
      <x:c r="A47" s="90" t="n">
        <x:v>2022</x:v>
      </x:c>
      <x:c r="B47" s="88" t="n">
        <x:v>44805</x:v>
      </x:c>
      <x:c r="C47" s="88" t="n">
        <x:v>44799</x:v>
      </x:c>
      <x:c r="D47" s="90" t="n">
        <x:v>0</x:v>
      </x:c>
      <x:c r="E47" s="90" t="n">
        <x:v>6</x:v>
      </x:c>
      <x:c r="F47" s="67" t="n">
        <x:v>25.57916666666667</x:v>
      </x:c>
      <x:c r="G47" s="67" t="n">
        <x:v>24.91875</x:v>
      </x:c>
      <x:c r="H47" s="89" t="n">
        <x:v>-0.66041666666667</x:v>
      </x:c>
      <x:c r="I47" s="67" t="n">
        <x:v>32.4</x:v>
      </x:c>
      <x:c r="J47" s="67" t="n">
        <x:v>32.1</x:v>
      </x:c>
      <x:c r="K47" s="89" t="n">
        <x:v>-0.29999999999999716</x:v>
      </x:c>
      <x:c r="L47" s="67" t="n">
        <x:v>19.3</x:v>
      </x:c>
      <x:c r="M47" s="67" t="n">
        <x:v>19.5</x:v>
      </x:c>
      <x:c r="N47" s="89" t="n">
        <x:v>0.1999999999999993</x:v>
      </x:c>
      <x:c r="O47" s="67" t="n">
        <x:v>25.727083333333333</x:v>
      </x:c>
      <x:c r="P47" s="67" t="n">
        <x:v>26.13125</x:v>
      </x:c>
      <x:c r="Q47" s="89" t="n">
        <x:v>0.40416666666666856</x:v>
      </x:c>
      <x:c r="R47" s="90" t="n">
        <x:v>1</x:v>
      </x:c>
      <x:c r="S47" s="90" t="n">
        <x:v>1</x:v>
      </x:c>
      <x:c r="T47" s="91" t="n">
        <x:v>0</x:v>
      </x:c>
      <x:c r="U47" s="90" t="n">
        <x:v>1</x:v>
      </x:c>
      <x:c r="V47" s="90" t="n">
        <x:v>1</x:v>
      </x:c>
      <x:c r="W47" s="91" t="n">
        <x:v>0</x:v>
      </x:c>
      <x:c r="X47" s="90" t="n">
        <x:v>0</x:v>
      </x:c>
      <x:c r="Y47" s="90" t="n">
        <x:v>0</x:v>
      </x:c>
      <x:c r="Z47" s="91" t="n">
        <x:v>0</x:v>
      </x:c>
    </x:row>
    <x:row r="48" ht="19" customHeight="1">
      <x:c r="A48" s="90" t="n">
        <x:v>2023</x:v>
      </x:c>
      <x:c r="B48" s="88" t="n">
        <x:v>45170</x:v>
      </x:c>
      <x:c r="C48" s="88" t="n">
        <x:v>45163</x:v>
      </x:c>
      <x:c r="D48" s="90" t="n">
        <x:v>0</x:v>
      </x:c>
      <x:c r="E48" s="90" t="n">
        <x:v>7</x:v>
      </x:c>
      <x:c r="F48" s="67" t="n">
        <x:v>21.616666666666667</x:v>
      </x:c>
      <x:c r="G48" s="67" t="n">
        <x:v>25.742708333333333</x:v>
      </x:c>
      <x:c r="H48" s="89" t="n">
        <x:v>4.126041666666666</x:v>
      </x:c>
      <x:c r="I48" s="67" t="n">
        <x:v>28</x:v>
      </x:c>
      <x:c r="J48" s="67" t="n">
        <x:v>38.8</x:v>
      </x:c>
      <x:c r="K48" s="89" t="n">
        <x:v>10.799999999999997</x:v>
      </x:c>
      <x:c r="L48" s="67" t="n">
        <x:v>18</x:v>
      </x:c>
      <x:c r="M48" s="67" t="n">
        <x:v>16.1</x:v>
      </x:c>
      <x:c r="N48" s="89" t="n">
        <x:v>-1.8999999999999986</x:v>
      </x:c>
      <x:c r="O48" s="67" t="n">
        <x:v>22.839583333333334</x:v>
      </x:c>
      <x:c r="P48" s="67" t="n">
        <x:v>25.545833333333334</x:v>
      </x:c>
      <x:c r="Q48" s="89" t="n">
        <x:v>2.7062500000000007</x:v>
      </x:c>
      <x:c r="R48" s="90" t="n">
        <x:v>0</x:v>
      </x:c>
      <x:c r="S48" s="90" t="n">
        <x:v>1</x:v>
      </x:c>
      <x:c r="T48" s="91" t="n">
        <x:v>1</x:v>
      </x:c>
      <x:c r="U48" s="90" t="n">
        <x:v>0</x:v>
      </x:c>
      <x:c r="V48" s="90" t="n">
        <x:v>1</x:v>
      </x:c>
      <x:c r="W48" s="91" t="n">
        <x:v>1</x:v>
      </x:c>
      <x:c r="X48" s="90" t="n">
        <x:v>0</x:v>
      </x:c>
      <x:c r="Y48" s="90" t="n">
        <x:v>1</x:v>
      </x:c>
      <x:c r="Z48" s="91" t="n">
        <x:v>1</x:v>
      </x:c>
    </x:row>
    <x:row r="49" ht="19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19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19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19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19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19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19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19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19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19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19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19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19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19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19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19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19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19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19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19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19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19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19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19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19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19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19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19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19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19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19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9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9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52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Método y reproducibilidad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Diseño emparejado por año. Unidad analítica: un año sin fechas compartidas entre A y B.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9" t="str">
        <x:v>Hipótesis y estimando principal</x:v>
      </x:c>
      <x:c r="B6" s="20"/>
      <x:c r="C6" s="20"/>
      <x:c r="D6" s="20"/>
      <x:c r="E6" s="20"/>
      <x:c r="F6" s="20"/>
      <x:c r="G6" s="20"/>
      <x:c r="H6" s="21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96" t="str">
        <x:v>Variable primaria</x:v>
      </x:c>
      <x:c r="B7" s="97" t="str">
        <x:v>Temperatura media de las 96 horas de cada intervalo de cuatro días.</x:v>
      </x:c>
      <x:c r="C7" s="97"/>
      <x:c r="D7" s="97"/>
      <x:c r="E7" s="97"/>
      <x:c r="F7" s="97"/>
      <x:c r="G7" s="97"/>
      <x:c r="H7" s="97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98" t="str">
        <x:v>Diferencia anual</x:v>
      </x:c>
      <x:c r="B8" s="99" t="str">
        <x:v>Dᵧ = temperatura media Bᵧ − temperatura media Aᵧ.</x:v>
      </x:c>
      <x:c r="C8" s="99"/>
      <x:c r="D8" s="99"/>
      <x:c r="E8" s="99"/>
      <x:c r="F8" s="99"/>
      <x:c r="G8" s="99"/>
      <x:c r="H8" s="99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98" t="str">
        <x:v>Hipótesis nula</x:v>
      </x:c>
      <x:c r="B9" s="99" t="str">
        <x:v>La diferencia media es cero.</x:v>
      </x:c>
      <x:c r="C9" s="99"/>
      <x:c r="D9" s="99"/>
      <x:c r="E9" s="99"/>
      <x:c r="F9" s="99"/>
      <x:c r="G9" s="99"/>
      <x:c r="H9" s="99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98" t="str">
        <x:v>Hipótesis alternativa</x:v>
      </x:c>
      <x:c r="B10" s="99" t="str">
        <x:v>La diferencia media es distinta de cero; la dirección esperada es B &gt; A.</x:v>
      </x:c>
      <x:c r="C10" s="99"/>
      <x:c r="D10" s="99"/>
      <x:c r="E10" s="99"/>
      <x:c r="F10" s="99"/>
      <x:c r="G10" s="99"/>
      <x:c r="H10" s="9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00" t="str">
        <x:v>Contraste principal</x:v>
      </x:c>
      <x:c r="B11" s="101" t="str">
        <x:v>t de Student emparejada bilateral e intervalo de confianza del 95 %.</x:v>
      </x:c>
      <x:c r="C11" s="101"/>
      <x:c r="D11" s="101"/>
      <x:c r="E11" s="101"/>
      <x:c r="F11" s="101"/>
      <x:c r="G11" s="101"/>
      <x:c r="H11" s="101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19" t="str">
        <x:v>Análisis ejecutados</x:v>
      </x:c>
      <x:c r="B14" s="20"/>
      <x:c r="C14" s="20"/>
      <x:c r="D14" s="20"/>
      <x:c r="E14" s="20"/>
      <x:c r="F14" s="20"/>
      <x:c r="G14" s="20"/>
      <x:c r="H14" s="21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6" t="str">
        <x:v>Bloque</x:v>
      </x:c>
      <x:c r="B15" s="27" t="str">
        <x:v>Procedimiento</x:v>
      </x:c>
      <x:c r="C15" s="28" t="str">
        <x:v>Finalidad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2" t="str">
        <x:v>Principal</x:v>
      </x:c>
      <x:c r="B16" s="97" t="str">
        <x:v>t emparejada bilateral</x:v>
      </x:c>
      <x:c r="C16" s="97" t="str">
        <x:v>Contrastar la diferencia media B − A.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6" t="str">
        <x:v>Incertidumbre</x:v>
      </x:c>
      <x:c r="B17" s="99" t="str">
        <x:v>IC 95 % t y bootstrap BCa</x:v>
      </x:c>
      <x:c r="C17" s="99" t="str">
        <x:v>Comprobar sensibilidad a la no normalidad.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6" t="str">
        <x:v>Aleatorización</x:v>
      </x:c>
      <x:c r="B18" s="99" t="str">
        <x:v>Permutación emparejada por cambio de signo</x:v>
      </x:c>
      <x:c r="C18" s="99" t="str">
        <x:v>Contraste robusto de la diferencia media.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6" t="str">
        <x:v>Distribución</x:v>
      </x:c>
      <x:c r="B19" s="99" t="str">
        <x:v>Wilcoxon y prueba de signos</x:v>
      </x:c>
      <x:c r="C19" s="99" t="str">
        <x:v>Evaluar desplazamiento y predominio año a año.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6" t="str">
        <x:v>Dependencia temporal</x:v>
      </x:c>
      <x:c r="B20" s="99" t="str">
        <x:v>HAC/Newey–West y bootstrap circular por bloques</x:v>
      </x:c>
      <x:c r="C20" s="99" t="str">
        <x:v>Corregir dependencia serial de corto alcance.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6" t="str">
        <x:v>Autocorrelación</x:v>
      </x:c>
      <x:c r="B21" s="99" t="str">
        <x:v>ACF(1) y Ljung–Box a 10 rezagos</x:v>
      </x:c>
      <x:c r="C21" s="99" t="str">
        <x:v>Comprobar estructura temporal residual.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6" t="str">
        <x:v>Selección</x:v>
      </x:c>
      <x:c r="B22" s="99" t="str">
        <x:v>Filtro previo: 0 días compartidos; estratificación por 4–7 días de separación</x:v>
      </x:c>
      <x:c r="C22" s="99" t="str">
        <x:v>Eliminar la reutilización de fechas y describir el efecto del calendario.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6" t="str">
        <x:v>Tendencia</x:v>
      </x:c>
      <x:c r="B23" s="99" t="str">
        <x:v>Regresión de B − A frente al año</x:v>
      </x:c>
      <x:c r="C23" s="99" t="str">
        <x:v>Detectar cambio secular de la diferencia.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40" t="str">
        <x:v>Multiplicidad</x:v>
      </x:c>
      <x:c r="B24" s="101" t="str">
        <x:v>Ajuste de Holm</x:v>
      </x:c>
      <x:c r="C24" s="101" t="str">
        <x:v>Controlar el error familiar de las variables continuas y los umbrales.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9" t="str">
        <x:v>Parámetros de reproducibilidad</x:v>
      </x:c>
      <x:c r="B27" s="20"/>
      <x:c r="C27" s="20"/>
      <x:c r="D27" s="20"/>
      <x:c r="E27" s="20"/>
      <x:c r="F27" s="20"/>
      <x:c r="G27" s="20"/>
      <x:c r="H27" s="21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96" t="str">
        <x:v>Archivo fuente</x:v>
      </x:c>
      <x:c r="B28" s="97" t="str">
        <x:v>Comparacion_climatologica_Castalla_A_vs_B.xlsx</x:v>
      </x:c>
      <x:c r="C28" s="97"/>
      <x:c r="D28" s="97"/>
      <x:c r="E28" s="97"/>
      <x:c r="F28" s="97"/>
      <x:c r="G28" s="97"/>
      <x:c r="H28" s="97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98" t="str">
        <x:v>SHA-256</x:v>
      </x:c>
      <x:c r="B29" s="99" t="str">
        <x:v>d1a7b7f7ef166937983baf9b13faca6021952d124339c97535e863dfe2f21cb1</x:v>
      </x:c>
      <x:c r="C29" s="99"/>
      <x:c r="D29" s="99"/>
      <x:c r="E29" s="99"/>
      <x:c r="F29" s="99"/>
      <x:c r="G29" s="99"/>
      <x:c r="H29" s="99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98" t="str">
        <x:v>Periodo</x:v>
      </x:c>
      <x:c r="B30" s="99" t="str">
        <x:v>1950–2025</x:v>
      </x:c>
      <x:c r="C30" s="99"/>
      <x:c r="D30" s="99"/>
      <x:c r="E30" s="99"/>
      <x:c r="F30" s="99"/>
      <x:c r="G30" s="99"/>
      <x:c r="H30" s="99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98" t="str">
        <x:v>Años</x:v>
      </x:c>
      <x:c r="B31" s="99" t="str">
        <x:v>43 incluidos; 33 excluidos</x:v>
      </x:c>
      <x:c r="C31" s="99"/>
      <x:c r="D31" s="99"/>
      <x:c r="E31" s="99"/>
      <x:c r="F31" s="99"/>
      <x:c r="G31" s="99"/>
      <x:c r="H31" s="99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98" t="str">
        <x:v>Semilla</x:v>
      </x:c>
      <x:c r="B32" s="99" t="n">
        <x:v>20260923</x:v>
      </x:c>
      <x:c r="C32" s="99"/>
      <x:c r="D32" s="99"/>
      <x:c r="E32" s="99"/>
      <x:c r="F32" s="99"/>
      <x:c r="G32" s="99"/>
      <x:c r="H32" s="99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98" t="str">
        <x:v>Permutaciones</x:v>
      </x:c>
      <x:c r="B33" s="99" t="n">
        <x:v>1000000</x:v>
      </x:c>
      <x:c r="C33" s="99"/>
      <x:c r="D33" s="99"/>
      <x:c r="E33" s="99"/>
      <x:c r="F33" s="99"/>
      <x:c r="G33" s="99"/>
      <x:c r="H33" s="99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98" t="str">
        <x:v>Remuestreos bootstrap</x:v>
      </x:c>
      <x:c r="B34" s="99" t="n">
        <x:v>100000</x:v>
      </x:c>
      <x:c r="C34" s="99"/>
      <x:c r="D34" s="99"/>
      <x:c r="E34" s="99"/>
      <x:c r="F34" s="99"/>
      <x:c r="G34" s="99"/>
      <x:c r="H34" s="99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98" t="str">
        <x:v>Longitud de bloque</x:v>
      </x:c>
      <x:c r="B35" s="99" t="str">
        <x:v>5 observaciones retenidas</x:v>
      </x:c>
      <x:c r="C35" s="99"/>
      <x:c r="D35" s="99"/>
      <x:c r="E35" s="99"/>
      <x:c r="F35" s="99"/>
      <x:c r="G35" s="99"/>
      <x:c r="H35" s="99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100" t="str">
        <x:v>Software</x:v>
      </x:c>
      <x:c r="B36" s="101" t="str">
        <x:v>Python 3.12.14; NumPy 2.3.5; SciPy 1.17.0</x:v>
      </x:c>
      <x:c r="C36" s="101"/>
      <x:c r="D36" s="101"/>
      <x:c r="E36" s="101"/>
      <x:c r="F36" s="101"/>
      <x:c r="G36" s="101"/>
      <x:c r="H36" s="101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19" t="str">
        <x:v>Limitaciones e interpretación</x:v>
      </x:c>
      <x:c r="B39" s="20"/>
      <x:c r="C39" s="20"/>
      <x:c r="D39" s="20"/>
      <x:c r="E39" s="20"/>
      <x:c r="F39" s="20"/>
      <x:c r="G39" s="20"/>
      <x:c r="H39" s="21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2" customHeight="1">
      <x:c r="A40" s="103" t="str">
        <x:v>La hipótesis inferencial se formalizó después de observar los resúmenes descriptivos. Por ello el contraste principal es bilateral; el resultado debe considerarse confirmación interna, no una validación independiente.</x:v>
      </x:c>
      <x:c r="B40" s="104"/>
      <x:c r="C40" s="104"/>
      <x:c r="D40" s="104"/>
      <x:c r="E40" s="104"/>
      <x:c r="F40" s="104"/>
      <x:c r="G40" s="104"/>
      <x:c r="H40" s="105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2" customHeight="1">
      <x:c r="A41" s="106" t="str">
        <x:v>Los años se tratan como realizaciones de un proceso climático. No constituyen una muestra aleatoria simple y el clima puede no ser estacionario.</x:v>
      </x:c>
      <x:c r="B41" s="102"/>
      <x:c r="C41" s="102"/>
      <x:c r="D41" s="102"/>
      <x:c r="E41" s="102"/>
      <x:c r="F41" s="102"/>
      <x:c r="G41" s="102"/>
      <x:c r="H41" s="107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2" customHeight="1">
      <x:c r="A42" s="106" t="str">
        <x:v>ERA5-Land es un producto de reanálisis. Incorpora incertidumbre de modelo y no equivale a una serie instrumental local independiente.</x:v>
      </x:c>
      <x:c r="B42" s="102"/>
      <x:c r="C42" s="102"/>
      <x:c r="D42" s="102"/>
      <x:c r="E42" s="102"/>
      <x:c r="F42" s="102"/>
      <x:c r="G42" s="102"/>
      <x:c r="H42" s="10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32" customHeight="1">
      <x:c r="A43" s="106" t="str">
        <x:v>La exclusión por calendario deja una subserie irregular de 43 años. En HAC, Ljung–Box y bootstrap por bloques, los rezagos y bloques se expresan en observaciones retenidas, no siempre en años consecutivos; estos análisis son sensibilidades.</x:v>
      </x:c>
      <x:c r="B43" s="102"/>
      <x:c r="C43" s="102"/>
      <x:c r="D43" s="102"/>
      <x:c r="E43" s="102"/>
      <x:c r="F43" s="102"/>
      <x:c r="G43" s="102"/>
      <x:c r="H43" s="10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2" customHeight="1">
      <x:c r="A44" s="106" t="str">
        <x:v>Una diferencia media positiva no significa que B fuera más cálido todos los años ni que el efecto sea causal.</x:v>
      </x:c>
      <x:c r="B44" s="102"/>
      <x:c r="C44" s="102"/>
      <x:c r="D44" s="102"/>
      <x:c r="E44" s="102"/>
      <x:c r="F44" s="102"/>
      <x:c r="G44" s="102"/>
      <x:c r="H44" s="107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2" customHeight="1">
      <x:c r="A45" s="108" t="str">
        <x:v>Las probabilidades de superar umbrales se analizaron con McNemar exacto y bootstrap pareado; constituyen resultados secundarios.</x:v>
      </x:c>
      <x:c r="B45" s="109"/>
      <x:c r="C45" s="109"/>
      <x:c r="D45" s="109"/>
      <x:c r="E45" s="109"/>
      <x:c r="F45" s="109"/>
      <x:c r="G45" s="109"/>
      <x:c r="H45" s="11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 t="str">
        <x:v>Selección de años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34" customHeight="1">
      <x:c r="A49" s="112" t="str">
        <x:v>Incluidos (43)</x:v>
      </x:c>
      <x:c r="B49" s="70" t="str">
        <x:v>1950, 1953, 1954, 1955, 1959, 1960, 1961, 1964, 1965, 1966, 1967, 1970, 1971, 1972, 1976, 1977, 1978, 1981, 1982, 1983, 1987, 1988, 1989, 1992, 1993, 1994, 1995, 1998, 1999, 2000, 2004, 2005, 2006, 2009, 2010, 2011, 2015, 2016, 2017, 2020, 2021, 2022, 2023</x:v>
      </x:c>
      <x:c r="C49" s="70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34" customHeight="1">
      <x:c r="A50" s="112" t="str">
        <x:v>Excluidos (33)</x:v>
      </x:c>
      <x:c r="B50" s="70" t="str">
        <x:v>1951, 1952, 1956, 1957, 1958, 1962, 1963, 1968, 1969, 1973, 1974, 1975, 1979, 1980, 1984, 1985, 1986, 1990, 1991, 1996, 1997, 2001, 2002, 2003, 2007, 2008, 2012, 2013, 2014, 2018, 2019, 2024, 2025</x:v>
      </x:c>
      <x:c r="C50" s="70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22" customHeight="1">
      <x:c r="A51" s="112" t="str">
        <x:v>Regla</x:v>
      </x:c>
      <x:c r="B51" s="70" t="str">
        <x:v>Año incluido si A ∩ B = ∅, equivalente a Días solapados = 0.</x:v>
      </x:c>
      <x:c r="C51" s="70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40:H40"/>
    <x:mergeCell ref="A41:H41"/>
    <x:mergeCell ref="A42:H42"/>
    <x:mergeCell ref="A43:H43"/>
    <x:mergeCell ref="A44:H44"/>
    <x:mergeCell ref="A45:H45"/>
    <x:mergeCell ref="A48:C48"/>
    <x:mergeCell ref="B49:C49"/>
    <x:mergeCell ref="B50:C50"/>
    <x:mergeCell ref="B51:C51"/>
  </x:mergeCells>
  <x:pageMargins left="0.7" right="0.7" top="0.75" bottom="0.75" header="0.3" footer="0.3"/>
</x:worksheet>
</file>