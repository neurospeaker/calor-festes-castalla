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712800288944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s" sheetId="1" r:id="Re8f1cb16fb7c4d89"/>
    <x:sheet xmlns:r="http://schemas.openxmlformats.org/officeDocument/2006/relationships" name="Diagnósticos" sheetId="2" r:id="Rbcb382bd9acf4909"/>
    <x:sheet xmlns:r="http://schemas.openxmlformats.org/officeDocument/2006/relationships" name="Datos anuales" sheetId="3" r:id="Rbac541c7743b4b5d"/>
    <x:sheet xmlns:r="http://schemas.openxmlformats.org/officeDocument/2006/relationships" name="Método" sheetId="4" r:id="Raf3442ef81ce4a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"/>
    <x:numFmt numFmtId="201" formatCode="0.0000"/>
    <x:numFmt numFmtId="202" formatCode="0.0%"/>
    <x:numFmt numFmtId="203" formatCode="0.000"/>
    <x:numFmt numFmtId="204" formatCode="yyyy-mm-dd"/>
    <x:numFmt numFmtId="205" formatCode="0"/>
  </x:numFmts>
  <x:fonts count="9">
    <x:font>
      <x:sz val="11"/>
      <x:name val="Carlito"/>
    </x:font>
    <x:font>
      <x:sz val="10"/>
      <x:color rgb="FF1F1F1F"/>
      <x:name val="Arial"/>
    </x:font>
    <x:font>
      <x:b/>
      <x:sz val="15"/>
      <x:color rgb="FF17365D"/>
      <x:name val="Arial"/>
    </x:font>
    <x:font>
      <x:i/>
      <x:sz val="10"/>
      <x:color rgb="FF666666"/>
      <x:name val="Arial"/>
    </x:font>
    <x:font>
      <x:b/>
      <x:sz val="11"/>
      <x:color rgb="FF375623"/>
      <x:name val="Arial"/>
    </x:font>
    <x:font>
      <x:b/>
      <x:sz val="10"/>
      <x:color rgb="FFFFFFFF"/>
      <x:name val="Arial"/>
    </x:font>
    <x:font>
      <x:b/>
      <x:sz val="10"/>
      <x:color rgb="FF375623"/>
      <x:name val="Arial"/>
    </x:font>
    <x:font>
      <x:b/>
      <x:sz val="10"/>
      <x:color rgb="FF17365D"/>
      <x:name val="Arial"/>
    </x:font>
    <x:font>
      <x:i/>
      <x:sz val="9"/>
      <x:color rgb="FF666666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2F0D9"/>
      </x:patternFill>
    </x:fill>
    <x:fill>
      <x:patternFill patternType="solid">
        <x:fgColor rgb="FF1F7A83"/>
      </x:patternFill>
    </x:fill>
    <x:fill>
      <x:patternFill patternType="solid">
        <x:fgColor rgb="FF17365D"/>
      </x:patternFill>
    </x:fill>
    <x:fill>
      <x:patternFill patternType="solid">
        <x:fgColor rgb="FFEAF2F8"/>
      </x:patternFill>
    </x:fill>
  </x:fills>
  <x:borders count="27">
    <x:border/>
    <x:border>
      <x:bottom style="thin">
        <x:color rgb="FF1F7A83"/>
      </x:bottom>
    </x:border>
    <x:border>
      <x:left style="thin">
        <x:color rgb="FFA9D18E"/>
      </x:left>
      <x:top style="thin">
        <x:color rgb="FFA9D18E"/>
      </x:top>
    </x:border>
    <x:border>
      <x:top style="thin">
        <x:color rgb="FFA9D18E"/>
      </x:top>
    </x:border>
    <x:border>
      <x:right style="thin">
        <x:color rgb="FFA9D18E"/>
      </x:right>
      <x:top style="thin">
        <x:color rgb="FFA9D18E"/>
      </x:top>
    </x:border>
    <x:border>
      <x:left style="thin">
        <x:color rgb="FFA9D18E"/>
      </x:left>
    </x:border>
    <x:border>
      <x:right style="thin">
        <x:color rgb="FFA9D18E"/>
      </x:right>
    </x:border>
    <x:border>
      <x:left style="thin">
        <x:color rgb="FFA9D18E"/>
      </x:left>
      <x:bottom style="thin">
        <x:color rgb="FFA9D18E"/>
      </x:bottom>
    </x:border>
    <x:border>
      <x:bottom style="thin">
        <x:color rgb="FFA9D18E"/>
      </x:bottom>
    </x:border>
    <x:border>
      <x:right style="thin">
        <x:color rgb="FFA9D18E"/>
      </x:right>
      <x:bottom style="thin">
        <x:color rgb="FFA9D18E"/>
      </x:bottom>
    </x:border>
    <x:border>
      <x:left style="thin">
        <x:color rgb="FF1F7A83"/>
      </x:left>
      <x:top style="thin">
        <x:color rgb="FF1F7A83"/>
      </x:top>
      <x:bottom style="thin">
        <x:color rgb="FF1F7A83"/>
      </x:bottom>
    </x:border>
    <x:border>
      <x:top style="thin">
        <x:color rgb="FF1F7A83"/>
      </x:top>
      <x:bottom style="thin">
        <x:color rgb="FF1F7A83"/>
      </x:bottom>
    </x:border>
    <x:border>
      <x:right style="thin">
        <x:color rgb="FF1F7A83"/>
      </x:right>
      <x:top style="thin">
        <x:color rgb="FF1F7A83"/>
      </x:top>
      <x:bottom style="thin">
        <x:color rgb="FF1F7A83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</x:border>
    <x:border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</x:borders>
  <x:cellStyleXfs count="1">
    <x:xf numFmtId="0" fontId="0" fillId="0" borderId="0"/>
  </x:cellStyleXfs>
  <x:cellXfs count="1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5" xfId="0" applyNumberFormat="1" applyFont="1" applyFill="1" applyBorder="1" applyAlignment="1">
      <x:alignment vertical="center" wrapText="1"/>
    </x:xf>
    <x:xf numFmtId="0" fontId="4" fillId="2" borderId="6" xfId="0" applyNumberFormat="1" applyFont="1" applyFill="1" applyBorder="1" applyAlignment="1">
      <x:alignment vertical="center" wrapText="1"/>
    </x:xf>
    <x:xf numFmtId="0" fontId="4" fillId="2" borderId="7" xfId="0" applyNumberFormat="1" applyFont="1" applyFill="1" applyBorder="1" applyAlignment="1">
      <x:alignment vertical="center" wrapText="1"/>
    </x:xf>
    <x:xf numFmtId="0" fontId="4" fillId="2" borderId="8" xfId="0" applyNumberFormat="1" applyFont="1" applyFill="1" applyBorder="1" applyAlignment="1">
      <x:alignment vertical="center" wrapText="1"/>
    </x:xf>
    <x:xf numFmtId="0" fontId="4" fillId="2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10" xfId="0" applyNumberFormat="1" applyFont="1" applyFill="1" applyBorder="1" applyAlignment="1">
      <x:alignment vertical="center"/>
    </x:xf>
    <x:xf numFmtId="0" fontId="5" fillId="3" borderId="11" xfId="0" applyNumberFormat="1" applyFont="1" applyFill="1" applyBorder="1" applyAlignment="1">
      <x:alignment vertical="center"/>
    </x:xf>
    <x:xf numFmtId="0" fontId="5" fillId="3" borderId="12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13" xfId="0" applyNumberFormat="1" applyFont="1" applyFill="1" applyBorder="1" applyAlignment="1">
      <x:alignment horizontal="center" vertical="center" wrapText="1"/>
    </x:xf>
    <x:xf numFmtId="0" fontId="5" fillId="4" borderId="14" xfId="0" applyNumberFormat="1" applyFont="1" applyFill="1" applyBorder="1" applyAlignment="1">
      <x:alignment horizontal="center" vertical="center" wrapText="1"/>
    </x:xf>
    <x:xf numFmtId="0" fontId="5" fillId="4" borderId="15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vertical="center"/>
    </x:xf>
    <x:xf numFmtId="200" fontId="1" fillId="0" borderId="16" xfId="0" applyNumberFormat="1" applyFont="1" applyFill="1" applyBorder="1" applyAlignment="1">
      <x:alignment vertical="center"/>
    </x:xf>
    <x:xf numFmtId="201" fontId="1" fillId="0" borderId="16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7" xfId="0" applyNumberFormat="1" applyFont="1" applyFill="1" applyBorder="1" applyAlignment="1">
      <x:alignment vertical="center"/>
    </x:xf>
    <x:xf numFmtId="200" fontId="1" fillId="0" borderId="17" xfId="0" applyNumberFormat="1" applyFont="1" applyFill="1" applyBorder="1" applyAlignment="1">
      <x:alignment vertical="center"/>
    </x:xf>
    <x:xf numFmtId="201" fontId="1" fillId="0" borderId="17" xfId="0" applyNumberFormat="1" applyFont="1" applyFill="1" applyBorder="1" applyAlignment="1">
      <x:alignment vertical="center"/>
    </x:xf>
    <x:xf numFmtId="0" fontId="1" fillId="0" borderId="17" xfId="0" applyNumberFormat="1" applyFont="1" applyFill="1" applyBorder="1" applyAlignment="1">
      <x:alignment horizontal="center" vertical="center"/>
    </x:xf>
    <x:xf numFmtId="0" fontId="1" fillId="0" borderId="18" xfId="0" applyNumberFormat="1" applyFont="1" applyFill="1" applyBorder="1" applyAlignment="1">
      <x:alignment vertical="center"/>
    </x:xf>
    <x:xf numFmtId="200" fontId="1" fillId="0" borderId="18" xfId="0" applyNumberFormat="1" applyFont="1" applyFill="1" applyBorder="1" applyAlignment="1">
      <x:alignment vertical="center"/>
    </x:xf>
    <x:xf numFmtId="201" fontId="1" fillId="0" borderId="18" xfId="0" applyNumberFormat="1" applyFont="1" applyFill="1" applyBorder="1" applyAlignment="1">
      <x:alignment vertical="center"/>
    </x:xf>
    <x:xf numFmtId="0" fontId="1" fillId="0" borderId="18" xfId="0" applyNumberFormat="1" applyFont="1" applyFill="1" applyBorder="1" applyAlignment="1">
      <x:alignment horizontal="center" vertical="center"/>
    </x:xf>
    <x:xf numFmtId="0" fontId="1" fillId="2" borderId="16" xfId="0" applyNumberFormat="1" applyFont="1" applyFill="1" applyBorder="1" applyAlignment="1">
      <x:alignment horizontal="center" vertical="center"/>
    </x:xf>
    <x:xf numFmtId="0" fontId="6" fillId="2" borderId="16" xfId="0" applyNumberFormat="1" applyFont="1" applyFill="1" applyBorder="1" applyAlignment="1">
      <x:alignment horizontal="center" vertical="center"/>
    </x:xf>
    <x:xf numFmtId="0" fontId="1" fillId="2" borderId="17" xfId="0" applyNumberFormat="1" applyFont="1" applyFill="1" applyBorder="1" applyAlignment="1">
      <x:alignment horizontal="center" vertical="center"/>
    </x:xf>
    <x:xf numFmtId="0" fontId="6" fillId="2" borderId="17" xfId="0" applyNumberFormat="1" applyFont="1" applyFill="1" applyBorder="1" applyAlignment="1">
      <x:alignment horizontal="center" vertical="center"/>
    </x:xf>
    <x:xf numFmtId="0" fontId="1" fillId="2" borderId="18" xfId="0" applyNumberFormat="1" applyFont="1" applyFill="1" applyBorder="1" applyAlignment="1">
      <x:alignment horizontal="center" vertical="center"/>
    </x:xf>
    <x:xf numFmtId="0" fontId="6" fillId="2" borderId="18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18" xfId="0" applyNumberFormat="1" applyFont="1" applyFill="1" applyBorder="1" applyAlignment="1">
      <x:alignment vertical="center"/>
    </x:xf>
    <x:xf numFmtId="202" fontId="1" fillId="0" borderId="16" xfId="0" applyNumberFormat="1" applyFont="1" applyFill="1" applyBorder="1" applyAlignment="1">
      <x:alignment vertical="center"/>
    </x:xf>
    <x:xf numFmtId="202" fontId="1" fillId="0" borderId="17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2" fontId="1" fillId="5" borderId="0" xfId="0" applyNumberFormat="1" applyFont="1" applyFill="1" applyBorder="1" applyAlignment="1">
      <x:alignment vertical="center"/>
    </x:xf>
    <x:xf numFmtId="0" fontId="1" fillId="5" borderId="16" xfId="0" applyNumberFormat="1" applyFont="1" applyFill="1" applyBorder="1" applyAlignment="1">
      <x:alignment vertical="center"/>
    </x:xf>
    <x:xf numFmtId="200" fontId="1" fillId="5" borderId="16" xfId="0" applyNumberFormat="1" applyFont="1" applyFill="1" applyBorder="1" applyAlignment="1">
      <x:alignment vertical="center"/>
    </x:xf>
    <x:xf numFmtId="201" fontId="1" fillId="5" borderId="16" xfId="0" applyNumberFormat="1" applyFont="1" applyFill="1" applyBorder="1" applyAlignment="1">
      <x:alignment vertical="center"/>
    </x:xf>
    <x:xf numFmtId="202" fontId="1" fillId="5" borderId="16" xfId="0" applyNumberFormat="1" applyFont="1" applyFill="1" applyBorder="1" applyAlignment="1">
      <x:alignment vertical="center"/>
    </x:xf>
    <x:xf numFmtId="0" fontId="1" fillId="5" borderId="18" xfId="0" applyNumberFormat="1" applyFont="1" applyFill="1" applyBorder="1" applyAlignment="1">
      <x:alignment vertical="center"/>
    </x:xf>
    <x:xf numFmtId="200" fontId="1" fillId="5" borderId="18" xfId="0" applyNumberFormat="1" applyFont="1" applyFill="1" applyBorder="1" applyAlignment="1">
      <x:alignment vertical="center"/>
    </x:xf>
    <x:xf numFmtId="201" fontId="1" fillId="5" borderId="18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16" xfId="0" applyNumberFormat="1" applyFont="1" applyFill="1" applyBorder="1" applyAlignment="1">
      <x:alignment vertical="center"/>
    </x:xf>
    <x:xf numFmtId="203" fontId="1" fillId="0" borderId="17" xfId="0" applyNumberFormat="1" applyFont="1" applyFill="1" applyBorder="1" applyAlignment="1">
      <x:alignment vertical="center"/>
    </x:xf>
    <x:xf numFmtId="203" fontId="1" fillId="0" borderId="18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7" fillId="0" borderId="19" xfId="0" applyNumberFormat="1" applyFont="1" applyFill="1" applyBorder="1" applyAlignment="1">
      <x:alignment vertical="center"/>
    </x:xf>
    <x:xf numFmtId="0" fontId="1" fillId="0" borderId="20" xfId="0" applyNumberFormat="1" applyFont="1" applyFill="1" applyBorder="1" applyAlignment="1">
      <x:alignment vertical="center" wrapText="1"/>
    </x:xf>
    <x:xf numFmtId="0" fontId="1" fillId="0" borderId="21" xfId="0" applyNumberFormat="1" applyFont="1" applyFill="1" applyBorder="1" applyAlignment="1">
      <x:alignment vertical="center" wrapText="1"/>
    </x:xf>
    <x:xf numFmtId="0" fontId="7" fillId="0" borderId="22" xfId="0" applyNumberFormat="1" applyFont="1" applyFill="1" applyBorder="1" applyAlignment="1">
      <x:alignment vertical="center"/>
    </x:xf>
    <x:xf numFmtId="0" fontId="1" fillId="0" borderId="23" xfId="0" applyNumberFormat="1" applyFont="1" applyFill="1" applyBorder="1" applyAlignment="1">
      <x:alignment vertical="center" wrapText="1"/>
    </x:xf>
    <x:xf numFmtId="0" fontId="7" fillId="0" borderId="24" xfId="0" applyNumberFormat="1" applyFont="1" applyFill="1" applyBorder="1" applyAlignment="1">
      <x:alignment vertical="center"/>
    </x:xf>
    <x:xf numFmtId="0" fontId="1" fillId="0" borderId="25" xfId="0" applyNumberFormat="1" applyFont="1" applyFill="1" applyBorder="1" applyAlignment="1">
      <x:alignment vertical="center" wrapText="1"/>
    </x:xf>
    <x:xf numFmtId="0" fontId="1" fillId="0" borderId="26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3" fontId="1" fillId="5" borderId="0" xfId="0" applyNumberFormat="1" applyFont="1" applyFill="1" applyBorder="1" applyAlignment="1">
      <x:alignment vertical="center"/>
    </x:xf>
    <x:xf numFmtId="205" fontId="1" fillId="5" borderId="0" xfId="0" applyNumberFormat="1" applyFont="1" applyFill="1" applyBorder="1" applyAlignment="1">
      <x:alignment vertical="center"/>
    </x:xf>
    <x:xf numFmtId="204" fontId="1" fillId="0" borderId="16" xfId="0" applyNumberFormat="1" applyFont="1" applyFill="1" applyBorder="1" applyAlignment="1">
      <x:alignment vertical="center"/>
    </x:xf>
    <x:xf numFmtId="203" fontId="1" fillId="5" borderId="16" xfId="0" applyNumberFormat="1" applyFont="1" applyFill="1" applyBorder="1" applyAlignment="1">
      <x:alignment vertical="center"/>
    </x:xf>
    <x:xf numFmtId="205" fontId="1" fillId="0" borderId="16" xfId="0" applyNumberFormat="1" applyFont="1" applyFill="1" applyBorder="1" applyAlignment="1">
      <x:alignment vertical="center"/>
    </x:xf>
    <x:xf numFmtId="205" fontId="1" fillId="5" borderId="16" xfId="0" applyNumberFormat="1" applyFont="1" applyFill="1" applyBorder="1" applyAlignment="1">
      <x:alignment vertical="center"/>
    </x:xf>
    <x:xf numFmtId="204" fontId="1" fillId="0" borderId="17" xfId="0" applyNumberFormat="1" applyFont="1" applyFill="1" applyBorder="1" applyAlignment="1">
      <x:alignment vertical="center"/>
    </x:xf>
    <x:xf numFmtId="203" fontId="1" fillId="5" borderId="17" xfId="0" applyNumberFormat="1" applyFont="1" applyFill="1" applyBorder="1" applyAlignment="1">
      <x:alignment vertical="center"/>
    </x:xf>
    <x:xf numFmtId="205" fontId="1" fillId="0" borderId="17" xfId="0" applyNumberFormat="1" applyFont="1" applyFill="1" applyBorder="1" applyAlignment="1">
      <x:alignment vertical="center"/>
    </x:xf>
    <x:xf numFmtId="205" fontId="1" fillId="5" borderId="17" xfId="0" applyNumberFormat="1" applyFont="1" applyFill="1" applyBorder="1" applyAlignment="1">
      <x:alignment vertical="center"/>
    </x:xf>
    <x:xf numFmtId="204" fontId="1" fillId="0" borderId="18" xfId="0" applyNumberFormat="1" applyFont="1" applyFill="1" applyBorder="1" applyAlignment="1">
      <x:alignment vertical="center"/>
    </x:xf>
    <x:xf numFmtId="203" fontId="1" fillId="5" borderId="18" xfId="0" applyNumberFormat="1" applyFont="1" applyFill="1" applyBorder="1" applyAlignment="1">
      <x:alignment vertical="center"/>
    </x:xf>
    <x:xf numFmtId="205" fontId="1" fillId="0" borderId="18" xfId="0" applyNumberFormat="1" applyFont="1" applyFill="1" applyBorder="1" applyAlignment="1">
      <x:alignment vertical="center"/>
    </x:xf>
    <x:xf numFmtId="205" fontId="1" fillId="5" borderId="18" xfId="0" applyNumberFormat="1" applyFont="1" applyFill="1" applyBorder="1" applyAlignment="1">
      <x:alignment vertical="center"/>
    </x:xf>
    <x:xf numFmtId="0" fontId="7" fillId="0" borderId="16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 wrapText="1"/>
    </x:xf>
    <x:xf numFmtId="0" fontId="7" fillId="0" borderId="17" xfId="0" applyNumberFormat="1" applyFont="1" applyFill="1" applyBorder="1" applyAlignment="1">
      <x:alignment vertical="center"/>
    </x:xf>
    <x:xf numFmtId="0" fontId="1" fillId="0" borderId="17" xfId="0" applyNumberFormat="1" applyFont="1" applyFill="1" applyBorder="1" applyAlignment="1">
      <x:alignment vertical="center" wrapText="1"/>
    </x:xf>
    <x:xf numFmtId="0" fontId="7" fillId="0" borderId="18" xfId="0" applyNumberFormat="1" applyFont="1" applyFill="1" applyBorder="1" applyAlignment="1">
      <x:alignment vertical="center"/>
    </x:xf>
    <x:xf numFmtId="0" fontId="1" fillId="0" borderId="18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19" xfId="0" applyNumberFormat="1" applyFont="1" applyFill="1" applyBorder="1" applyAlignment="1">
      <x:alignment vertical="center" wrapText="1"/>
    </x:xf>
    <x:xf numFmtId="0" fontId="1" fillId="5" borderId="20" xfId="0" applyNumberFormat="1" applyFont="1" applyFill="1" applyBorder="1" applyAlignment="1">
      <x:alignment vertical="center" wrapText="1"/>
    </x:xf>
    <x:xf numFmtId="0" fontId="1" fillId="5" borderId="21" xfId="0" applyNumberFormat="1" applyFont="1" applyFill="1" applyBorder="1" applyAlignment="1">
      <x:alignment vertical="center" wrapText="1"/>
    </x:xf>
    <x:xf numFmtId="0" fontId="1" fillId="5" borderId="22" xfId="0" applyNumberFormat="1" applyFont="1" applyFill="1" applyBorder="1" applyAlignment="1">
      <x:alignment vertical="center" wrapText="1"/>
    </x:xf>
    <x:xf numFmtId="0" fontId="1" fillId="5" borderId="23" xfId="0" applyNumberFormat="1" applyFont="1" applyFill="1" applyBorder="1" applyAlignment="1">
      <x:alignment vertical="center" wrapText="1"/>
    </x:xf>
    <x:xf numFmtId="0" fontId="1" fillId="5" borderId="24" xfId="0" applyNumberFormat="1" applyFont="1" applyFill="1" applyBorder="1" applyAlignment="1">
      <x:alignment vertical="center" wrapText="1"/>
    </x:xf>
    <x:xf numFmtId="0" fontId="1" fillId="5" borderId="25" xfId="0" applyNumberFormat="1" applyFont="1" applyFill="1" applyBorder="1" applyAlignment="1">
      <x:alignment vertical="center" wrapText="1"/>
    </x:xf>
    <x:xf numFmtId="0" fontId="1" fillId="5" borderId="2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cf1d6784d045fe" /><Relationship Type="http://schemas.openxmlformats.org/officeDocument/2006/relationships/theme" Target="/xl/theme/theme1.xml" Id="Ra2c3b803ad2e47dc" /><Relationship Type="http://schemas.openxmlformats.org/officeDocument/2006/relationships/sharedStrings" Target="/xl/sharedStrings.xml" Id="Re6c306d5f55c4380" /><Relationship Type="http://schemas.openxmlformats.org/officeDocument/2006/relationships/worksheet" Target="/xl/worksheets/sheet1.xml" Id="Re8f1cb16fb7c4d89" /><Relationship Type="http://schemas.openxmlformats.org/officeDocument/2006/relationships/worksheet" Target="/xl/worksheets/sheet2.xml" Id="Rbcb382bd9acf4909" /><Relationship Type="http://schemas.openxmlformats.org/officeDocument/2006/relationships/worksheet" Target="/xl/worksheets/sheet3.xml" Id="Rbac541c7743b4b5d" /><Relationship Type="http://schemas.openxmlformats.org/officeDocument/2006/relationships/worksheet" Target="/xl/worksheets/sheet4.xml" Id="Raf3442ef81ce4af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c0308bf044140f1" /><Relationship Type="http://schemas.openxmlformats.org/officeDocument/2006/relationships/chart" Target="/xl/drawings/charts/chart2.xml" Id="R143c801de6eb424c" /><Relationship Type="http://schemas.openxmlformats.org/officeDocument/2006/relationships/chart" Target="/xl/drawings/charts/chart3.xml" Id="R9ffeb486729645b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Diferencia anual de temperatura media (B − A)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B − A (°C)</c:v>
          </c:tx>
          <c:spPr>
            <a:ln xmlns:a="http://schemas.openxmlformats.org/drawingml/2006/main" w="19050">
              <a:solidFill>
                <a:srgbClr val="1F7A83"/>
              </a:solidFill>
              <a:prstDash val="solid"/>
            </a:ln>
          </c:spPr>
          <c:marker>
            <c:symbol val="none"/>
          </c:marker>
          <c:cat>
            <c:strRef>
              <c:f>'Diagnósticos'!$A$7:$A$82</c:f>
              <c:strCache>
                <c:ptCount val="0"/>
              </c:strCache>
            </c:strRef>
          </c:cat>
          <c:val>
            <c:numRef>
              <c:f>'Diagnósticos'!$B$7:$B$82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0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°C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Distribución de las diferencias anuales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Frecuencia</c:v>
          </c:tx>
          <c:spPr>
            <a:solidFill xmlns:a="http://schemas.openxmlformats.org/drawingml/2006/main">
              <a:srgbClr val="5B9BD5"/>
            </a:solidFill>
          </c:spPr>
          <c:cat>
            <c:strRef>
              <c:f>'Diagnósticos'!$N$7:$N$17</c:f>
              <c:strCache>
                <c:ptCount val="0"/>
              </c:strCache>
            </c:strRef>
          </c:cat>
          <c:val>
            <c:numRef>
              <c:f>'Diagnósticos'!$O$7:$O$17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Diferencia media según días compartidos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Media</c:v>
          </c:tx>
          <c:spPr>
            <a:solidFill xmlns:a="http://schemas.openxmlformats.org/drawingml/2006/main">
              <a:srgbClr val="1F7A83"/>
            </a:solidFill>
          </c:spPr>
          <c:cat>
            <c:strRef>
              <c:f>'Diagnósticos'!$N$41:$N$44</c:f>
              <c:strCache>
                <c:ptCount val="0"/>
              </c:strCache>
            </c:strRef>
          </c:cat>
          <c:val>
            <c:numRef>
              <c:f>'Diagnósticos'!$P$41:$P$44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B − A (°C)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4</xdr:row>
      <xdr:rowOff>0</xdr:rowOff>
    </xdr:from>
    <xdr:to>
      <xdr:col>12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0308bf044140f1"/>
        </a:graphicData>
      </a:graphic>
    </xdr:graphicFrame>
    <xdr:clientData/>
  </xdr:twoCellAnchor>
  <xdr:twoCellAnchor>
    <xdr:from>
      <xdr:col>3</xdr:col>
      <xdr:colOff>0</xdr:colOff>
      <xdr:row>22</xdr:row>
      <xdr:rowOff>0</xdr:rowOff>
    </xdr:from>
    <xdr:to>
      <xdr:col>12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3c801de6eb424c"/>
        </a:graphicData>
      </a:graphic>
    </xdr:graphicFrame>
    <xdr:clientData/>
  </xdr:twoCellAnchor>
  <xdr:twoCellAnchor>
    <xdr:from>
      <xdr:col>3</xdr:col>
      <xdr:colOff>0</xdr:colOff>
      <xdr:row>40</xdr:row>
      <xdr:rowOff>0</xdr:rowOff>
    </xdr:from>
    <xdr:to>
      <xdr:col>12</xdr:col>
      <xdr:colOff>0</xdr:colOff>
      <xdr:row>57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feb486729645b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b28e9c7eaea4d17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7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3" t="str">
        <x:v>Castalla: análisis estadístico de los intervalos A y B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5" t="str">
        <x:v>Periodo 1950–2025. A: 1–4 de septiembre. B: último viernes de agosto y los tres días siguientes. Diferencia: B − A.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26" customHeight="1">
      <x:c r="A6" s="9" t="str">
        <x:v>Los datos respaldan que el intervalo B tuvo una temperatura media superior a A en 1950–2025. La diferencia media fue +0.72 °C (IC 95 % 0.27 a 1.17; p bilateral=0.0022). El resultado se mantiene con bootstrap, permutación, corrección por autocorrelación y al excluir los años con solapamiento. No implica que B fuese más cálido todos los años: ocurrió en 42 de 76.</x:v>
      </x:c>
      <x:c r="B6" s="10"/>
      <x:c r="C6" s="10"/>
      <x:c r="D6" s="10"/>
      <x:c r="E6" s="10"/>
      <x:c r="F6" s="10"/>
      <x:c r="G6" s="10"/>
      <x:c r="H6" s="10"/>
      <x:c r="I6" s="10"/>
      <x:c r="J6" s="11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26" customHeight="1">
      <x:c r="A7" s="12"/>
      <x:c r="B7" s="8"/>
      <x:c r="C7" s="8"/>
      <x:c r="D7" s="8"/>
      <x:c r="E7" s="8"/>
      <x:c r="F7" s="8"/>
      <x:c r="G7" s="8"/>
      <x:c r="H7" s="8"/>
      <x:c r="I7" s="8"/>
      <x:c r="J7" s="13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26" customHeight="1">
      <x:c r="A8" s="12"/>
      <x:c r="B8" s="8"/>
      <x:c r="C8" s="8"/>
      <x:c r="D8" s="8"/>
      <x:c r="E8" s="8"/>
      <x:c r="F8" s="8"/>
      <x:c r="G8" s="8"/>
      <x:c r="H8" s="8"/>
      <x:c r="I8" s="8"/>
      <x:c r="J8" s="13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26" customHeight="1">
      <x:c r="A9" s="14"/>
      <x:c r="B9" s="15"/>
      <x:c r="C9" s="15"/>
      <x:c r="D9" s="15"/>
      <x:c r="E9" s="15"/>
      <x:c r="F9" s="15"/>
      <x:c r="G9" s="15"/>
      <x:c r="H9" s="15"/>
      <x:c r="I9" s="15"/>
      <x:c r="J9" s="16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19" t="str">
        <x:v>Resultados inferenciales de las variables continuas</x:v>
      </x:c>
      <x:c r="B11" s="20"/>
      <x:c r="C11" s="20"/>
      <x:c r="D11" s="20"/>
      <x:c r="E11" s="20"/>
      <x:c r="F11" s="20"/>
      <x:c r="G11" s="20"/>
      <x:c r="H11" s="20"/>
      <x:c r="I11" s="20"/>
      <x:c r="J11" s="21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22" customHeight="1">
      <x:c r="A12" s="26" t="str">
        <x:v>Variable</x:v>
      </x:c>
      <x:c r="B12" s="27" t="str">
        <x:v>Media A (°C)</x:v>
      </x:c>
      <x:c r="C12" s="27" t="str">
        <x:v>Media B (°C)</x:v>
      </x:c>
      <x:c r="D12" s="27" t="str">
        <x:v>B − A (°C)</x:v>
      </x:c>
      <x:c r="E12" s="27" t="str">
        <x:v>IC 95 % inferior</x:v>
      </x:c>
      <x:c r="F12" s="27" t="str">
        <x:v>IC 95 % superior</x:v>
      </x:c>
      <x:c r="G12" s="27" t="str">
        <x:v>p bilateral</x:v>
      </x:c>
      <x:c r="H12" s="27" t="str">
        <x:v>p Holm</x:v>
      </x:c>
      <x:c r="I12" s="27" t="str">
        <x:v>dᶻ</x:v>
      </x:c>
      <x:c r="J12" s="28" t="str">
        <x:v>Conclusión</x:v>
      </x:c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22" customHeight="1">
      <x:c r="A13" s="32" t="str">
        <x:v>Temperatura media del intervalo</x:v>
      </x:c>
      <x:c r="B13" s="33" t="n">
        <x:v>21.930811403508766</x:v>
      </x:c>
      <x:c r="C13" s="33" t="n">
        <x:v>22.650246710526318</x:v>
      </x:c>
      <x:c r="D13" s="33" t="n">
        <x:v>0.7194353070175443</x:v>
      </x:c>
      <x:c r="E13" s="33" t="n">
        <x:v>0.26758249212171276</x:v>
      </x:c>
      <x:c r="F13" s="33" t="n">
        <x:v>1.171288121913376</x:v>
      </x:c>
      <x:c r="G13" s="34" t="n">
        <x:v>0.0021955781701898996</x:v>
      </x:c>
      <x:c r="H13" s="34" t="n">
        <x:v>0.008782312680759598</x:v>
      </x:c>
      <x:c r="I13" s="33" t="n">
        <x:v>0.3638308861741599</x:v>
      </x:c>
      <x:c r="J13" s="45" t="str">
        <x:v>B superior</x:v>
      </x:c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22" customHeight="1">
      <x:c r="A14" s="36" t="str">
        <x:v>Máxima diurna del intervalo</x:v>
      </x:c>
      <x:c r="B14" s="37" t="n">
        <x:v>29.4078947368421</x:v>
      </x:c>
      <x:c r="C14" s="37" t="n">
        <x:v>30.46710526315789</x:v>
      </x:c>
      <x:c r="D14" s="37" t="n">
        <x:v>1.0592105263157898</x:v>
      </x:c>
      <x:c r="E14" s="37" t="n">
        <x:v>0.31932629282848013</x:v>
      </x:c>
      <x:c r="F14" s="37" t="n">
        <x:v>1.7990947598030995</x:v>
      </x:c>
      <x:c r="G14" s="38" t="n">
        <x:v>0.005612101029298753</x:v>
      </x:c>
      <x:c r="H14" s="38" t="n">
        <x:v>0.01683630308789626</x:v>
      </x:c>
      <x:c r="I14" s="37" t="n">
        <x:v>0.32713222246308243</x:v>
      </x:c>
      <x:c r="J14" s="47" t="str">
        <x:v>B superior</x:v>
      </x:c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22" customHeight="1">
      <x:c r="A15" s="36" t="str">
        <x:v>Mínima nocturna del intervalo</x:v>
      </x:c>
      <x:c r="B15" s="37" t="n">
        <x:v>15.901315789473681</x:v>
      </x:c>
      <x:c r="C15" s="37" t="n">
        <x:v>16.510526315789473</x:v>
      </x:c>
      <x:c r="D15" s="37" t="n">
        <x:v>0.6092105263157894</x:v>
      </x:c>
      <x:c r="E15" s="37" t="n">
        <x:v>0.1625583054396555</x:v>
      </x:c>
      <x:c r="F15" s="37" t="n">
        <x:v>1.0558627471919233</x:v>
      </x:c>
      <x:c r="G15" s="38" t="n">
        <x:v>0.008172900706316972</x:v>
      </x:c>
      <x:c r="H15" s="38" t="n">
        <x:v>0.01683630308789626</x:v>
      </x:c>
      <x:c r="I15" s="37" t="n">
        <x:v>0.31167553232306616</x:v>
      </x:c>
      <x:c r="J15" s="47" t="str">
        <x:v>B superior</x:v>
      </x:c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22" customHeight="1">
      <x:c r="A16" s="40" t="str">
        <x:v>Temperatura aparente media</x:v>
      </x:c>
      <x:c r="B16" s="41" t="n">
        <x:v>22.515213815789473</x:v>
      </x:c>
      <x:c r="C16" s="41" t="n">
        <x:v>23.15028782894737</x:v>
      </x:c>
      <x:c r="D16" s="41" t="n">
        <x:v>0.6350740131578947</x:v>
      </x:c>
      <x:c r="E16" s="41" t="n">
        <x:v>0.14963505583820025</x:v>
      </x:c>
      <x:c r="F16" s="41" t="n">
        <x:v>1.1205129704775891</x:v>
      </x:c>
      <x:c r="G16" s="42" t="n">
        <x:v>0.011038970189894512</x:v>
      </x:c>
      <x:c r="H16" s="42" t="n">
        <x:v>0.01683630308789626</x:v>
      </x:c>
      <x:c r="I16" s="41" t="n">
        <x:v>0.2989472238118496</x:v>
      </x:c>
      <x:c r="J16" s="49" t="str">
        <x:v>B superior</x:v>
      </x:c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22" customHeight="1">
      <x:c r="A19" s="19" t="str">
        <x:v>Robustez de la temperatura media</x:v>
      </x:c>
      <x:c r="B19" s="20"/>
      <x:c r="C19" s="20"/>
      <x:c r="D19" s="20"/>
      <x:c r="E19" s="20"/>
      <x:c r="F19" s="21"/>
      <x:c r="G19" s="2"/>
      <x:c r="H19" s="19" t="str">
        <x:v>Sensibilidad al solapamiento</x:v>
      </x:c>
      <x:c r="I19" s="20"/>
      <x:c r="J19" s="20"/>
      <x:c r="K19" s="20"/>
      <x:c r="L19" s="20"/>
      <x:c r="M19" s="20"/>
      <x:c r="N19" s="21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22" customHeight="1">
      <x:c r="A20" s="26" t="str">
        <x:v>Método</x:v>
      </x:c>
      <x:c r="B20" s="27" t="str">
        <x:v>Estimación</x:v>
      </x:c>
      <x:c r="C20" s="27" t="str">
        <x:v>IC 95 % inferior</x:v>
      </x:c>
      <x:c r="D20" s="27" t="str">
        <x:v>IC 95 % superior</x:v>
      </x:c>
      <x:c r="E20" s="27" t="str">
        <x:v>p bilateral</x:v>
      </x:c>
      <x:c r="F20" s="28" t="str">
        <x:v>Lectura</x:v>
      </x:c>
      <x:c r="G20" s="2"/>
      <x:c r="H20" s="26" t="str">
        <x:v>Días compartidos</x:v>
      </x:c>
      <x:c r="I20" s="27" t="str">
        <x:v>n</x:v>
      </x:c>
      <x:c r="J20" s="27" t="str">
        <x:v>B − A (°C)</x:v>
      </x:c>
      <x:c r="K20" s="27" t="str">
        <x:v>IC inferior</x:v>
      </x:c>
      <x:c r="L20" s="27" t="str">
        <x:v>IC superior</x:v>
      </x:c>
      <x:c r="M20" s="27" t="str">
        <x:v>p bilateral</x:v>
      </x:c>
      <x:c r="N20" s="28" t="str">
        <x:v>% años B&gt;A</x:v>
      </x:c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22" customHeight="1">
      <x:c r="A21" s="32" t="str">
        <x:v>t emparejada</x:v>
      </x:c>
      <x:c r="B21" s="33" t="n">
        <x:v>0.7194353070175443</x:v>
      </x:c>
      <x:c r="C21" s="33" t="n">
        <x:v>0.26758249212171276</x:v>
      </x:c>
      <x:c r="D21" s="33" t="n">
        <x:v>1.171288121913376</x:v>
      </x:c>
      <x:c r="E21" s="34" t="n">
        <x:v>0.0021955781701898996</x:v>
      </x:c>
      <x:c r="F21" s="32" t="str">
        <x:v>Media B − A</x:v>
      </x:c>
      <x:c r="G21" s="2"/>
      <x:c r="H21" s="32" t="n">
        <x:v>0</x:v>
      </x:c>
      <x:c r="I21" s="32" t="n">
        <x:v>43</x:v>
      </x:c>
      <x:c r="J21" s="33" t="n">
        <x:v>1.2360222868217057</x:v>
      </x:c>
      <x:c r="K21" s="33" t="n">
        <x:v>0.5144743599495492</x:v>
      </x:c>
      <x:c r="L21" s="33" t="n">
        <x:v>1.9575702136938622</x:v>
      </x:c>
      <x:c r="M21" s="34" t="n">
        <x:v>0.0012634726699818138</x:v>
      </x:c>
      <x:c r="N21" s="52" t="n">
        <x:v>0.6511627906976745</x:v>
      </x:c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22" customHeight="1">
      <x:c r="A22" s="36" t="str">
        <x:v>Bootstrap BCa</x:v>
      </x:c>
      <x:c r="B22" s="37" t="n">
        <x:v>0.7194353070175443</x:v>
      </x:c>
      <x:c r="C22" s="37" t="n">
        <x:v>0.30038727010555744</x:v>
      </x:c>
      <x:c r="D22" s="37" t="n">
        <x:v>1.1858214592764107</x:v>
      </x:c>
      <x:c r="E22" s="38"/>
      <x:c r="F22" s="36" t="str">
        <x:v>100.000 remuestreos</x:v>
      </x:c>
      <x:c r="G22" s="2"/>
      <x:c r="H22" s="36" t="n">
        <x:v>1</x:v>
      </x:c>
      <x:c r="I22" s="36" t="n">
        <x:v>11</x:v>
      </x:c>
      <x:c r="J22" s="37" t="n">
        <x:v>-0.09214015151515104</x:v>
      </x:c>
      <x:c r="K22" s="37" t="n">
        <x:v>-1.125616174144892</x:v>
      </x:c>
      <x:c r="L22" s="37" t="n">
        <x:v>0.94133587111459</x:v>
      </x:c>
      <x:c r="M22" s="38" t="n">
        <x:v>0.8465163541646856</x:v>
      </x:c>
      <x:c r="N22" s="53" t="n">
        <x:v>0.36363636363636365</x:v>
      </x:c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22" customHeight="1">
      <x:c r="A23" s="36" t="str">
        <x:v>Permutación de signos</x:v>
      </x:c>
      <x:c r="B23" s="37" t="n">
        <x:v>0.7194353070175443</x:v>
      </x:c>
      <x:c r="C23" s="37"/>
      <x:c r="D23" s="37"/>
      <x:c r="E23" s="38" t="n">
        <x:v>0.002044997955002045</x:v>
      </x:c>
      <x:c r="F23" s="36" t="str">
        <x:v>1.000.000 permutaciones</x:v>
      </x:c>
      <x:c r="G23" s="2"/>
      <x:c r="H23" s="36" t="n">
        <x:v>2</x:v>
      </x:c>
      <x:c r="I23" s="36" t="n">
        <x:v>11</x:v>
      </x:c>
      <x:c r="J23" s="37" t="n">
        <x:v>0.32348484848484915</x:v>
      </x:c>
      <x:c r="K23" s="37" t="n">
        <x:v>-0.3428224196074404</x:v>
      </x:c>
      <x:c r="L23" s="37" t="n">
        <x:v>0.9897921165771387</x:v>
      </x:c>
      <x:c r="M23" s="38" t="n">
        <x:v>0.3047647830566243</x:v>
      </x:c>
      <x:c r="N23" s="53" t="n">
        <x:v>0.5454545454545454</x:v>
      </x:c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22" customHeight="1">
      <x:c r="A24" s="36" t="str">
        <x:v>HAC / Newey–West</x:v>
      </x:c>
      <x:c r="B24" s="37" t="n">
        <x:v>0.7194353070175443</x:v>
      </x:c>
      <x:c r="C24" s="37" t="n">
        <x:v>0.3088280734888584</x:v>
      </x:c>
      <x:c r="D24" s="37" t="n">
        <x:v>1.1300425405462302</x:v>
      </x:c>
      <x:c r="E24" s="38" t="n">
        <x:v>0.0008113831307662581</x:v>
      </x:c>
      <x:c r="F24" s="36" t="str">
        <x:v>Rezagos=3</x:v>
      </x:c>
      <x:c r="G24" s="2"/>
      <x:c r="H24" s="40" t="n">
        <x:v>3</x:v>
      </x:c>
      <x:c r="I24" s="40" t="n">
        <x:v>11</x:v>
      </x:c>
      <x:c r="J24" s="41" t="n">
        <x:v>-0.09242424242424169</x:v>
      </x:c>
      <x:c r="K24" s="41" t="n">
        <x:v>-0.32382069669130203</x:v>
      </x:c>
      <x:c r="L24" s="41" t="n">
        <x:v>0.13897221184281866</x:v>
      </x:c>
      <x:c r="M24" s="42" t="n">
        <x:v>0.3943925350146276</x:v>
      </x:c>
      <x:c r="N24" s="51" t="n">
        <x:v>0.36363636363636365</x:v>
      </x:c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22" customHeight="1">
      <x:c r="A25" s="36" t="str">
        <x:v>Bootstrap por bloques</x:v>
      </x:c>
      <x:c r="B25" s="37" t="n">
        <x:v>0.7194353070175443</x:v>
      </x:c>
      <x:c r="C25" s="37" t="n">
        <x:v>0.32971491228070243</x:v>
      </x:c>
      <x:c r="D25" s="37" t="n">
        <x:v>1.0939970531798247</x:v>
      </x:c>
      <x:c r="E25" s="38"/>
      <x:c r="F25" s="36" t="str">
        <x:v>Bloques circulares de 5 años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22" customHeight="1">
      <x:c r="A26" s="36" t="str">
        <x:v>Wilcoxon emparejada</x:v>
      </x:c>
      <x:c r="B26" s="37" t="n">
        <x:v>0.2302083333333318</x:v>
      </x:c>
      <x:c r="C26" s="37"/>
      <x:c r="D26" s="37"/>
      <x:c r="E26" s="38" t="n">
        <x:v>0.021081902790550177</x:v>
      </x:c>
      <x:c r="F26" s="36" t="str">
        <x:v>Desplazamiento de distribución</x:v>
      </x:c>
      <x:c r="G26" s="2"/>
      <x:c r="H26" s="58" t="str">
        <x:v>Sin solapamiento</x:v>
      </x:c>
      <x:c r="I26" s="58" t="n">
        <x:v>43</x:v>
      </x:c>
      <x:c r="J26" s="59" t="n">
        <x:v>1.2360222868217057</x:v>
      </x:c>
      <x:c r="K26" s="59" t="n">
        <x:v>0.5144743599495492</x:v>
      </x:c>
      <x:c r="L26" s="59" t="n">
        <x:v>1.9575702136938622</x:v>
      </x:c>
      <x:c r="M26" s="60" t="n">
        <x:v>0.0012634726699818138</x:v>
      </x:c>
      <x:c r="N26" s="61" t="n">
        <x:v>0.6511627906976745</x:v>
      </x:c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22" customHeight="1">
      <x:c r="A27" s="40" t="str">
        <x:v>Prueba de los signos</x:v>
      </x:c>
      <x:c r="B27" s="51" t="n">
        <x:v>0.5526315789473685</x:v>
      </x:c>
      <x:c r="C27" s="40"/>
      <x:c r="D27" s="40"/>
      <x:c r="E27" s="42" t="n">
        <x:v>0.42219110499231566</x:v>
      </x:c>
      <x:c r="F27" s="40" t="str">
        <x:v>42 años B&gt;A; 34 años B&lt;A</x:v>
      </x:c>
      <x:c r="G27" s="2"/>
      <x:c r="H27" s="62" t="str">
        <x:v>Por día de separación</x:v>
      </x:c>
      <x:c r="I27" s="62"/>
      <x:c r="J27" s="63" t="n">
        <x:v>0.3360929526075884</x:v>
      </x:c>
      <x:c r="K27" s="63" t="n">
        <x:v>0.14936548464385588</x:v>
      </x:c>
      <x:c r="L27" s="63" t="n">
        <x:v>0.5228204205713209</x:v>
      </x:c>
      <x:c r="M27" s="64" t="n">
        <x:v>0.0006012834220967561</x:v>
      </x:c>
      <x:c r="N27" s="6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22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22" customHeight="1">
      <x:c r="A30" s="19" t="str">
        <x:v>Superación de umbrales de Tmax: análisis pareado de McNemar</x:v>
      </x:c>
      <x:c r="B30" s="20"/>
      <x:c r="C30" s="20"/>
      <x:c r="D30" s="20"/>
      <x:c r="E30" s="20"/>
      <x:c r="F30" s="20"/>
      <x:c r="G30" s="20"/>
      <x:c r="H30" s="20"/>
      <x:c r="I30" s="21"/>
      <x:c r="J30" s="2"/>
      <x:c r="K30" s="19" t="str">
        <x:v>Dependencia temporal</x:v>
      </x:c>
      <x:c r="L30" s="20"/>
      <x:c r="M30" s="20"/>
      <x:c r="N30" s="21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22" customHeight="1">
      <x:c r="A31" s="26" t="str">
        <x:v>Umbral</x:v>
      </x:c>
      <x:c r="B31" s="27" t="str">
        <x:v>Riesgo A</x:v>
      </x:c>
      <x:c r="C31" s="27" t="str">
        <x:v>Riesgo B</x:v>
      </x:c>
      <x:c r="D31" s="27" t="str">
        <x:v>Diferencia</x:v>
      </x:c>
      <x:c r="E31" s="27" t="str">
        <x:v>IC inferior</x:v>
      </x:c>
      <x:c r="F31" s="27" t="str">
        <x:v>IC superior</x:v>
      </x:c>
      <x:c r="G31" s="27" t="str">
        <x:v>B solo</x:v>
      </x:c>
      <x:c r="H31" s="27" t="str">
        <x:v>A solo</x:v>
      </x:c>
      <x:c r="I31" s="28" t="str">
        <x:v>p Holm</x:v>
      </x:c>
      <x:c r="J31" s="2"/>
      <x:c r="K31" s="26" t="str">
        <x:v>Indicador</x:v>
      </x:c>
      <x:c r="L31" s="27" t="str">
        <x:v>Estimación</x:v>
      </x:c>
      <x:c r="M31" s="28" t="str">
        <x:v>p bilateral</x:v>
      </x:c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22" customHeight="1">
      <x:c r="A32" s="32" t="str">
        <x:v>&gt;30 °C</x:v>
      </x:c>
      <x:c r="B32" s="52" t="n">
        <x:v>0.35526315789473684</x:v>
      </x:c>
      <x:c r="C32" s="52" t="n">
        <x:v>0.5131578947368421</x:v>
      </x:c>
      <x:c r="D32" s="52" t="n">
        <x:v>0.15789473684210525</x:v>
      </x:c>
      <x:c r="E32" s="52" t="n">
        <x:v>0.02631578947368421</x:v>
      </x:c>
      <x:c r="F32" s="52" t="n">
        <x:v>0.2894736842105263</x:v>
      </x:c>
      <x:c r="G32" s="32" t="n">
        <x:v>19</x:v>
      </x:c>
      <x:c r="H32" s="32" t="n">
        <x:v>7</x:v>
      </x:c>
      <x:c r="I32" s="34" t="n">
        <x:v>0.057918548583984375</x:v>
      </x:c>
      <x:c r="J32" s="2"/>
      <x:c r="K32" s="32" t="str">
        <x:v>Tendencia por década</x:v>
      </x:c>
      <x:c r="L32" s="66" t="n">
        <x:v>0.025992253360674247</x:v>
      </x:c>
      <x:c r="M32" s="34" t="n">
        <x:v>0.7602732800076762</x:v>
      </x:c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22" customHeight="1">
      <x:c r="A33" s="36" t="str">
        <x:v>&gt;32 °C</x:v>
      </x:c>
      <x:c r="B33" s="53" t="n">
        <x:v>0.14473684210526316</x:v>
      </x:c>
      <x:c r="C33" s="53" t="n">
        <x:v>0.32894736842105265</x:v>
      </x:c>
      <x:c r="D33" s="53" t="n">
        <x:v>0.18421052631578946</x:v>
      </x:c>
      <x:c r="E33" s="53" t="n">
        <x:v>0.07894736842105263</x:v>
      </x:c>
      <x:c r="F33" s="53" t="n">
        <x:v>0.3026315789473684</x:v>
      </x:c>
      <x:c r="G33" s="36" t="n">
        <x:v>18</x:v>
      </x:c>
      <x:c r="H33" s="36" t="n">
        <x:v>4</x:v>
      </x:c>
      <x:c r="I33" s="38" t="n">
        <x:v>0.013030529022216797</x:v>
      </x:c>
      <x:c r="J33" s="2"/>
      <x:c r="K33" s="36" t="str">
        <x:v>ACF(1)</x:v>
      </x:c>
      <x:c r="L33" s="67" t="n">
        <x:v>-0.08867862282501685</x:v>
      </x:c>
      <x:c r="M33" s="38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22" customHeight="1">
      <x:c r="A34" s="40" t="str">
        <x:v>&gt;35 °C</x:v>
      </x:c>
      <x:c r="B34" s="51" t="n">
        <x:v>0.02631578947368421</x:v>
      </x:c>
      <x:c r="C34" s="51" t="n">
        <x:v>0.039473684210526314</x:v>
      </x:c>
      <x:c r="D34" s="51" t="n">
        <x:v>0.013157894736842105</x:v>
      </x:c>
      <x:c r="E34" s="51" t="n">
        <x:v>-0.039473684210526314</x:v>
      </x:c>
      <x:c r="F34" s="51" t="n">
        <x:v>0.07894736842105263</x:v>
      </x:c>
      <x:c r="G34" s="40" t="n">
        <x:v>3</x:v>
      </x:c>
      <x:c r="H34" s="40" t="n">
        <x:v>2</x:v>
      </x:c>
      <x:c r="I34" s="42" t="n">
        <x:v>1</x:v>
      </x:c>
      <x:c r="J34" s="2"/>
      <x:c r="K34" s="36" t="str">
        <x:v>Ljung–Box Q(10)</x:v>
      </x:c>
      <x:c r="L34" s="67" t="n">
        <x:v>8.282780725689316</x:v>
      </x:c>
      <x:c r="M34" s="38" t="n">
        <x:v>0.601236544596363</x:v>
      </x:c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40" t="str">
        <x:v>Media ajustada</x:v>
      </x:c>
      <x:c r="L35" s="68" t="n">
        <x:v>0.7194353070175442</x:v>
      </x:c>
      <x:c r="M35" s="42" t="n">
        <x:v>0.0007367806107894713</x:v>
      </x:c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34" customHeight="1">
      <x:c r="A37" s="71" t="str">
        <x:v>Interpretación</x:v>
      </x:c>
      <x:c r="B37" s="72" t="str">
        <x:v>La diferencia media es estadísticamente robusta, pero no uniforme año a año. El solapamiento comprime la diferencia porque introduce días idénticos en ambos intervalos. Cuanto más temprano empieza B respecto de A, mayor es la diferencia estimada. La comparación describe los intervalos definidos y no demuestra una causa meteorológica.</x:v>
      </x:c>
      <x:c r="C37" s="72"/>
      <x:c r="D37" s="72"/>
      <x:c r="E37" s="72"/>
      <x:c r="F37" s="72"/>
      <x:c r="G37" s="72"/>
      <x:c r="H37" s="72"/>
      <x:c r="I37" s="72"/>
      <x:c r="J37" s="72"/>
      <x:c r="K37" s="72"/>
      <x:c r="L37" s="72"/>
      <x:c r="M37" s="72"/>
      <x:c r="N37" s="73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34" customHeight="1">
      <x:c r="A38" s="74" t="str">
        <x:v>Multiplicidad</x:v>
      </x:c>
      <x:c r="B38" s="70" t="str">
        <x:v>Las cuatro variables continuas se corrigieron conjuntamente mediante Holm. Los tres umbrales constituyen una familia secundaria separada.</x:v>
      </x:c>
      <x:c r="C38" s="70"/>
      <x:c r="D38" s="70"/>
      <x:c r="E38" s="70"/>
      <x:c r="F38" s="70"/>
      <x:c r="G38" s="70"/>
      <x:c r="H38" s="70"/>
      <x:c r="I38" s="70"/>
      <x:c r="J38" s="70"/>
      <x:c r="K38" s="70"/>
      <x:c r="L38" s="70"/>
      <x:c r="M38" s="70"/>
      <x:c r="N38" s="75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34" customHeight="1">
      <x:c r="A39" s="76" t="str">
        <x:v>Criterio principal</x:v>
      </x:c>
      <x:c r="B39" s="77" t="str">
        <x:v>Contraste bilateral e IC 95 %, porque la hipótesis se formalizó después de inspeccionar los resúmenes descriptivos.</x:v>
      </x:c>
      <x:c r="C39" s="77"/>
      <x:c r="D39" s="77"/>
      <x:c r="E39" s="77"/>
      <x:c r="F39" s="77"/>
      <x:c r="G39" s="77"/>
      <x:c r="H39" s="77"/>
      <x:c r="I39" s="77"/>
      <x:c r="J39" s="77"/>
      <x:c r="K39" s="77"/>
      <x:c r="L39" s="77"/>
      <x:c r="M39" s="77"/>
      <x:c r="N39" s="78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</x:sheetData>
  <x:mergeCells>
    <x:mergeCell ref="A6:J9"/>
    <x:mergeCell ref="B37:N37"/>
    <x:mergeCell ref="B38:N38"/>
    <x:mergeCell ref="B39:N3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7A8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14" hidden="0" customWidth="1"/>
    <x:col min="3" max="3" width="3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3" hidden="0" customWidth="1"/>
    <x:col min="14" max="14" width="25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3" t="str">
        <x:v>Diagnósticos y análisis de sensibilidad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5" t="str">
        <x:v>Temperatura media del intervalo. Diferencia anual B − A.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19" t="str">
        <x:v>Serie anual</x:v>
      </x:c>
      <x:c r="B5" s="21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19" t="str">
        <x:v>Distribución</x:v>
      </x:c>
      <x:c r="O5" s="21"/>
      <x:c r="P5" s="2"/>
      <x:c r="Q5" s="19" t="str">
        <x:v>Autocorrelación</x:v>
      </x:c>
      <x:c r="R5" s="21"/>
      <x:c r="S5" s="2"/>
      <x:c r="T5" s="2"/>
      <x:c r="U5" s="2"/>
      <x:c r="V5" s="2"/>
      <x:c r="W5" s="2"/>
      <x:c r="X5" s="2"/>
      <x:c r="Y5" s="2"/>
      <x:c r="Z5" s="2"/>
    </x:row>
    <x:row r="6">
      <x:c r="A6" s="26" t="str">
        <x:v>Año</x:v>
      </x:c>
      <x:c r="B6" s="28" t="str">
        <x:v>B − A (°C)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6" t="str">
        <x:v>Intervalo (°C)</x:v>
      </x:c>
      <x:c r="O6" s="28" t="str">
        <x:v>Frecuencia</x:v>
      </x:c>
      <x:c r="P6" s="2"/>
      <x:c r="Q6" s="26" t="str">
        <x:v>Indicador</x:v>
      </x:c>
      <x:c r="R6" s="28" t="str">
        <x:v>Resultado</x:v>
      </x:c>
      <x:c r="S6" s="2"/>
      <x:c r="T6" s="2"/>
      <x:c r="U6" s="2"/>
      <x:c r="V6" s="2"/>
      <x:c r="W6" s="2"/>
      <x:c r="X6" s="2"/>
      <x:c r="Y6" s="2"/>
      <x:c r="Z6" s="2"/>
    </x:row>
    <x:row r="7">
      <x:c r="A7" s="32" t="n">
        <x:v>1950</x:v>
      </x:c>
      <x:c r="B7" s="66" t="n">
        <x:v>3.678124999999998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32" t="str">
        <x:v>-4.5 a -3.5</x:v>
      </x:c>
      <x:c r="O7" s="32" t="n">
        <x:v>0</x:v>
      </x:c>
      <x:c r="P7" s="2"/>
      <x:c r="Q7" s="32" t="str">
        <x:v>ACF(1)</x:v>
      </x:c>
      <x:c r="R7" s="34" t="n">
        <x:v>-0.08867862282501685</x:v>
      </x:c>
      <x:c r="S7" s="2"/>
      <x:c r="T7" s="2"/>
      <x:c r="U7" s="2"/>
      <x:c r="V7" s="2"/>
      <x:c r="W7" s="2"/>
      <x:c r="X7" s="2"/>
      <x:c r="Y7" s="2"/>
      <x:c r="Z7" s="2"/>
    </x:row>
    <x:row r="8">
      <x:c r="A8" s="36" t="n">
        <x:v>1951</x:v>
      </x:c>
      <x:c r="B8" s="67" t="n">
        <x:v>0.14375000000000426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36" t="str">
        <x:v>-3.5 a -2.5</x:v>
      </x:c>
      <x:c r="O8" s="36" t="n">
        <x:v>2</x:v>
      </x:c>
      <x:c r="P8" s="2"/>
      <x:c r="Q8" s="36" t="str">
        <x:v>Ljung–Box Q(10)</x:v>
      </x:c>
      <x:c r="R8" s="38" t="n">
        <x:v>8.282780725689316</x:v>
      </x:c>
      <x:c r="S8" s="2"/>
      <x:c r="T8" s="2"/>
      <x:c r="U8" s="2"/>
      <x:c r="V8" s="2"/>
      <x:c r="W8" s="2"/>
      <x:c r="X8" s="2"/>
      <x:c r="Y8" s="2"/>
      <x:c r="Z8" s="2"/>
    </x:row>
    <x:row r="9">
      <x:c r="A9" s="36" t="n">
        <x:v>1952</x:v>
      </x:c>
      <x:c r="B9" s="67" t="n">
        <x:v>0.7020833333333307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36" t="str">
        <x:v>-2.5 a -1.5</x:v>
      </x:c>
      <x:c r="O9" s="36" t="n">
        <x:v>6</x:v>
      </x:c>
      <x:c r="P9" s="2"/>
      <x:c r="Q9" s="40" t="str">
        <x:v>p Ljung–Box</x:v>
      </x:c>
      <x:c r="R9" s="42" t="n">
        <x:v>0.601236544596363</x:v>
      </x:c>
      <x:c r="S9" s="2"/>
      <x:c r="T9" s="2"/>
      <x:c r="U9" s="2"/>
      <x:c r="V9" s="2"/>
      <x:c r="W9" s="2"/>
      <x:c r="X9" s="2"/>
      <x:c r="Y9" s="2"/>
      <x:c r="Z9" s="2"/>
    </x:row>
    <x:row r="10">
      <x:c r="A10" s="36" t="n">
        <x:v>1953</x:v>
      </x:c>
      <x:c r="B10" s="67" t="n">
        <x:v>1.015625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36" t="str">
        <x:v>-1.5 a -0.5</x:v>
      </x:c>
      <x:c r="O10" s="36" t="n">
        <x:v>13</x:v>
      </x:c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36" t="n">
        <x:v>1954</x:v>
      </x:c>
      <x:c r="B11" s="67" t="n">
        <x:v>-0.399999999999995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36" t="str">
        <x:v>-0.5 a 0.5</x:v>
      </x:c>
      <x:c r="O11" s="36" t="n">
        <x:v>23</x:v>
      </x:c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36" t="n">
        <x:v>1955</x:v>
      </x:c>
      <x:c r="B12" s="67" t="n">
        <x:v>0.48125000000000284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36" t="str">
        <x:v>0.5 a 1.5</x:v>
      </x:c>
      <x:c r="O12" s="36" t="n">
        <x:v>7</x:v>
      </x:c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36" t="n">
        <x:v>1956</x:v>
      </x:c>
      <x:c r="B13" s="67" t="n">
        <x:v>0.46458333333333357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36" t="str">
        <x:v>1.5 a 2.5</x:v>
      </x:c>
      <x:c r="O13" s="36" t="n">
        <x:v>11</x:v>
      </x:c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36" t="n">
        <x:v>1957</x:v>
      </x:c>
      <x:c r="B14" s="67" t="n">
        <x:v>-0.18124999999999858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36" t="str">
        <x:v>2.5 a 3.5</x:v>
      </x:c>
      <x:c r="O14" s="36" t="n">
        <x:v>6</x:v>
      </x:c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36" t="n">
        <x:v>1958</x:v>
      </x:c>
      <x:c r="B15" s="67" t="n">
        <x:v>-0.7124999999999986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36" t="str">
        <x:v>3.5 a 4.5</x:v>
      </x:c>
      <x:c r="O15" s="36" t="n">
        <x:v>4</x:v>
      </x:c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36" t="n">
        <x:v>1959</x:v>
      </x:c>
      <x:c r="B16" s="67" t="n">
        <x:v>3.086458333333333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36" t="str">
        <x:v>4.5 a 5.5</x:v>
      </x:c>
      <x:c r="O16" s="36" t="n">
        <x:v>2</x:v>
      </x:c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36" t="n">
        <x:v>1960</x:v>
      </x:c>
      <x:c r="B17" s="67" t="n">
        <x:v>3.1854166666666686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40" t="str">
        <x:v>5.5 a 6.5</x:v>
      </x:c>
      <x:c r="O17" s="40" t="n">
        <x:v>2</x:v>
      </x:c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36" t="n">
        <x:v>1961</x:v>
      </x:c>
      <x:c r="B18" s="67" t="n">
        <x:v>1.6343750000000021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36" t="n">
        <x:v>1962</x:v>
      </x:c>
      <x:c r="B19" s="67" t="n">
        <x:v>0.07395833333333357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36" t="n">
        <x:v>1963</x:v>
      </x:c>
      <x:c r="B20" s="67" t="n">
        <x:v>2.2197916666666657</x:v>
      </x:c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36" t="n">
        <x:v>1964</x:v>
      </x:c>
      <x:c r="B21" s="67" t="n">
        <x:v>-1.8229166666666643</x:v>
      </x:c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36" t="n">
        <x:v>1965</x:v>
      </x:c>
      <x:c r="B22" s="67" t="n">
        <x:v>5.939583333333335</x:v>
      </x:c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36" t="n">
        <x:v>1966</x:v>
      </x:c>
      <x:c r="B23" s="67" t="n">
        <x:v>1.5833333333333321</x:v>
      </x:c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36" t="n">
        <x:v>1967</x:v>
      </x:c>
      <x:c r="B24" s="67" t="n">
        <x:v>-1.7895833333333329</x:v>
      </x:c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19" t="str">
        <x:v>Normalidad e influencia</x:v>
      </x:c>
      <x:c r="O24" s="20"/>
      <x:c r="P24" s="20"/>
      <x:c r="Q24" s="20"/>
      <x:c r="R24" s="21"/>
      <x:c r="S24" s="2"/>
      <x:c r="T24" s="2"/>
      <x:c r="U24" s="2"/>
      <x:c r="V24" s="2"/>
      <x:c r="W24" s="2"/>
      <x:c r="X24" s="2"/>
      <x:c r="Y24" s="2"/>
      <x:c r="Z24" s="2"/>
    </x:row>
    <x:row r="25">
      <x:c r="A25" s="36" t="n">
        <x:v>1968</x:v>
      </x:c>
      <x:c r="B25" s="67" t="n">
        <x:v>0.3093749999999993</x:v>
      </x:c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6" t="str">
        <x:v>Indicador</x:v>
      </x:c>
      <x:c r="O25" s="28" t="str">
        <x:v>Resultado</x:v>
      </x:c>
      <x:c r="P25" s="2"/>
      <x:c r="Q25" s="26" t="str">
        <x:v>Año</x:v>
      </x:c>
      <x:c r="R25" s="27" t="str">
        <x:v>B − A (°C)</x:v>
      </x:c>
      <x:c r="S25" s="27" t="str">
        <x:v>Solapamiento</x:v>
      </x:c>
      <x:c r="T25" s="28" t="str">
        <x:v>Separación</x:v>
      </x:c>
      <x:c r="U25" s="2"/>
      <x:c r="V25" s="2"/>
      <x:c r="W25" s="2"/>
      <x:c r="X25" s="2"/>
      <x:c r="Y25" s="2"/>
      <x:c r="Z25" s="2"/>
    </x:row>
    <x:row r="26">
      <x:c r="A26" s="36" t="n">
        <x:v>1969</x:v>
      </x:c>
      <x:c r="B26" s="67" t="n">
        <x:v>-1.1958333333333329</x:v>
      </x:c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32" t="str">
        <x:v>Shapiro–Wilk W</x:v>
      </x:c>
      <x:c r="O26" s="34" t="n">
        <x:v>0.9593185035953731</x:v>
      </x:c>
      <x:c r="P26" s="2"/>
      <x:c r="Q26" s="32" t="n">
        <x:v>1965</x:v>
      </x:c>
      <x:c r="R26" s="66" t="n">
        <x:v>5.939583333333335</x:v>
      </x:c>
      <x:c r="S26" s="32" t="n">
        <x:v>0</x:v>
      </x:c>
      <x:c r="T26" s="32" t="n">
        <x:v>5</x:v>
      </x:c>
      <x:c r="U26" s="2"/>
      <x:c r="V26" s="2"/>
      <x:c r="W26" s="2"/>
      <x:c r="X26" s="2"/>
      <x:c r="Y26" s="2"/>
      <x:c r="Z26" s="2"/>
    </x:row>
    <x:row r="27">
      <x:c r="A27" s="36" t="n">
        <x:v>1970</x:v>
      </x:c>
      <x:c r="B27" s="67" t="n">
        <x:v>-0.31979166666666714</x:v>
      </x:c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36" t="str">
        <x:v>p Shapiro–Wilk</x:v>
      </x:c>
      <x:c r="O27" s="38" t="n">
        <x:v>0.015708255614563408</x:v>
      </x:c>
      <x:c r="P27" s="2"/>
      <x:c r="Q27" s="36" t="n">
        <x:v>1989</x:v>
      </x:c>
      <x:c r="R27" s="67" t="n">
        <x:v>5.5781250000000036</x:v>
      </x:c>
      <x:c r="S27" s="36" t="n">
        <x:v>0</x:v>
      </x:c>
      <x:c r="T27" s="36" t="n">
        <x:v>7</x:v>
      </x:c>
      <x:c r="U27" s="2"/>
      <x:c r="V27" s="2"/>
      <x:c r="W27" s="2"/>
      <x:c r="X27" s="2"/>
      <x:c r="Y27" s="2"/>
      <x:c r="Z27" s="2"/>
    </x:row>
    <x:row r="28">
      <x:c r="A28" s="36" t="n">
        <x:v>1971</x:v>
      </x:c>
      <x:c r="B28" s="67" t="n">
        <x:v>2.29270833333333</x:v>
      </x:c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36" t="str">
        <x:v>Asimetría</x:v>
      </x:c>
      <x:c r="O28" s="38" t="n">
        <x:v>0.6213178985738528</x:v>
      </x:c>
      <x:c r="P28" s="2"/>
      <x:c r="Q28" s="36" t="n">
        <x:v>2017</x:v>
      </x:c>
      <x:c r="R28" s="67" t="n">
        <x:v>4.704166666666666</x:v>
      </x:c>
      <x:c r="S28" s="36" t="n">
        <x:v>0</x:v>
      </x:c>
      <x:c r="T28" s="36" t="n">
        <x:v>7</x:v>
      </x:c>
      <x:c r="U28" s="2"/>
      <x:c r="V28" s="2"/>
      <x:c r="W28" s="2"/>
      <x:c r="X28" s="2"/>
      <x:c r="Y28" s="2"/>
      <x:c r="Z28" s="2"/>
    </x:row>
    <x:row r="29">
      <x:c r="A29" s="36" t="n">
        <x:v>1972</x:v>
      </x:c>
      <x:c r="B29" s="67" t="n">
        <x:v>4.548958333333331</x:v>
      </x:c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36" t="str">
        <x:v>Curtosis excedente</x:v>
      </x:c>
      <x:c r="O29" s="38" t="n">
        <x:v>-0.025423287698741248</x:v>
      </x:c>
      <x:c r="P29" s="2"/>
      <x:c r="Q29" s="36" t="n">
        <x:v>1972</x:v>
      </x:c>
      <x:c r="R29" s="67" t="n">
        <x:v>4.548958333333331</x:v>
      </x:c>
      <x:c r="S29" s="36" t="n">
        <x:v>0</x:v>
      </x:c>
      <x:c r="T29" s="36" t="n">
        <x:v>7</x:v>
      </x:c>
      <x:c r="U29" s="2"/>
      <x:c r="V29" s="2"/>
      <x:c r="W29" s="2"/>
      <x:c r="X29" s="2"/>
      <x:c r="Y29" s="2"/>
      <x:c r="Z29" s="2"/>
    </x:row>
    <x:row r="30">
      <x:c r="A30" s="36" t="n">
        <x:v>1973</x:v>
      </x:c>
      <x:c r="B30" s="67" t="n">
        <x:v>-0.07708333333333073</x:v>
      </x:c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36" t="str">
        <x:v>Media recortada 10 % (°C)</x:v>
      </x:c>
      <x:c r="O30" s="38" t="n">
        <x:v>0.5992439516129034</x:v>
      </x:c>
      <x:c r="P30" s="2"/>
      <x:c r="Q30" s="36" t="n">
        <x:v>2010</x:v>
      </x:c>
      <x:c r="R30" s="67" t="n">
        <x:v>4.21875</x:v>
      </x:c>
      <x:c r="S30" s="36" t="n">
        <x:v>0</x:v>
      </x:c>
      <x:c r="T30" s="36" t="n">
        <x:v>5</x:v>
      </x:c>
      <x:c r="U30" s="2"/>
      <x:c r="V30" s="2"/>
      <x:c r="W30" s="2"/>
      <x:c r="X30" s="2"/>
      <x:c r="Y30" s="2"/>
      <x:c r="Z30" s="2"/>
    </x:row>
    <x:row r="31">
      <x:c r="A31" s="36" t="n">
        <x:v>1974</x:v>
      </x:c>
      <x:c r="B31" s="67" t="n">
        <x:v>-0.1041666666666643</x:v>
      </x:c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36" t="str">
        <x:v>Valores atípicos por IQR</x:v>
      </x:c>
      <x:c r="O31" s="38" t="n">
        <x:v>1</x:v>
      </x:c>
      <x:c r="P31" s="2"/>
      <x:c r="Q31" s="36" t="n">
        <x:v>2023</x:v>
      </x:c>
      <x:c r="R31" s="67" t="n">
        <x:v>4.126041666666666</x:v>
      </x:c>
      <x:c r="S31" s="36" t="n">
        <x:v>0</x:v>
      </x:c>
      <x:c r="T31" s="36" t="n">
        <x:v>7</x:v>
      </x:c>
      <x:c r="U31" s="2"/>
      <x:c r="V31" s="2"/>
      <x:c r="W31" s="2"/>
      <x:c r="X31" s="2"/>
      <x:c r="Y31" s="2"/>
      <x:c r="Z31" s="2"/>
    </x:row>
    <x:row r="32">
      <x:c r="A32" s="36" t="n">
        <x:v>1975</x:v>
      </x:c>
      <x:c r="B32" s="67" t="n">
        <x:v>-0.22812499999999858</x:v>
      </x:c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36" t="str">
        <x:v>Media leave-one-out mínima</x:v>
      </x:c>
      <x:c r="O32" s="38" t="n">
        <x:v>0.6498333333333338</x:v>
      </x:c>
      <x:c r="P32" s="2"/>
      <x:c r="Q32" s="36" t="n">
        <x:v>1982</x:v>
      </x:c>
      <x:c r="R32" s="67" t="n">
        <x:v>3.89479166666667</x:v>
      </x:c>
      <x:c r="S32" s="36" t="n">
        <x:v>0</x:v>
      </x:c>
      <x:c r="T32" s="36" t="n">
        <x:v>5</x:v>
      </x:c>
      <x:c r="U32" s="2"/>
      <x:c r="V32" s="2"/>
      <x:c r="W32" s="2"/>
      <x:c r="X32" s="2"/>
      <x:c r="Y32" s="2"/>
      <x:c r="Z32" s="2"/>
    </x:row>
    <x:row r="33">
      <x:c r="A33" s="36" t="n">
        <x:v>1976</x:v>
      </x:c>
      <x:c r="B33" s="67" t="n">
        <x:v>-0.5125000000000028</x:v>
      </x:c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40" t="str">
        <x:v>Media leave-one-out máxima</x:v>
      </x:c>
      <x:c r="O33" s="42" t="n">
        <x:v>0.7735972222222227</x:v>
      </x:c>
      <x:c r="P33" s="2"/>
      <x:c r="Q33" s="36" t="n">
        <x:v>1950</x:v>
      </x:c>
      <x:c r="R33" s="67" t="n">
        <x:v>3.678124999999998</x:v>
      </x:c>
      <x:c r="S33" s="36" t="n">
        <x:v>0</x:v>
      </x:c>
      <x:c r="T33" s="36" t="n">
        <x:v>7</x:v>
      </x:c>
      <x:c r="U33" s="2"/>
      <x:c r="V33" s="2"/>
      <x:c r="W33" s="2"/>
      <x:c r="X33" s="2"/>
      <x:c r="Y33" s="2"/>
      <x:c r="Z33" s="2"/>
    </x:row>
    <x:row r="34">
      <x:c r="A34" s="36" t="n">
        <x:v>1977</x:v>
      </x:c>
      <x:c r="B34" s="67" t="n">
        <x:v>-1.7427083333333329</x:v>
      </x:c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36" t="n">
        <x:v>2015</x:v>
      </x:c>
      <x:c r="R34" s="67" t="n">
        <x:v>3.423958333333335</x:v>
      </x:c>
      <x:c r="S34" s="36" t="n">
        <x:v>0</x:v>
      </x:c>
      <x:c r="T34" s="36" t="n">
        <x:v>4</x:v>
      </x:c>
      <x:c r="U34" s="2"/>
      <x:c r="V34" s="2"/>
      <x:c r="W34" s="2"/>
      <x:c r="X34" s="2"/>
      <x:c r="Y34" s="2"/>
      <x:c r="Z34" s="2"/>
    </x:row>
    <x:row r="35">
      <x:c r="A35" s="36" t="n">
        <x:v>1978</x:v>
      </x:c>
      <x:c r="B35" s="67" t="n">
        <x:v>0.5645833333333314</x:v>
      </x:c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40" t="n">
        <x:v>1993</x:v>
      </x:c>
      <x:c r="R35" s="68" t="n">
        <x:v>-3.3427083333333343</x:v>
      </x:c>
      <x:c r="S35" s="40" t="n">
        <x:v>0</x:v>
      </x:c>
      <x:c r="T35" s="40" t="n">
        <x:v>5</x:v>
      </x:c>
      <x:c r="U35" s="2"/>
      <x:c r="V35" s="2"/>
      <x:c r="W35" s="2"/>
      <x:c r="X35" s="2"/>
      <x:c r="Y35" s="2"/>
      <x:c r="Z35" s="2"/>
    </x:row>
    <x:row r="36">
      <x:c r="A36" s="36" t="n">
        <x:v>1979</x:v>
      </x:c>
      <x:c r="B36" s="67" t="n">
        <x:v>-0.12083333333333357</x:v>
      </x:c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36" t="n">
        <x:v>1980</x:v>
      </x:c>
      <x:c r="B37" s="67" t="n">
        <x:v>1.9822916666666686</x:v>
      </x:c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36" t="n">
        <x:v>1981</x:v>
      </x:c>
      <x:c r="B38" s="67" t="n">
        <x:v>-0.42187500000000355</x:v>
      </x:c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36" t="n">
        <x:v>1982</x:v>
      </x:c>
      <x:c r="B39" s="67" t="n">
        <x:v>3.89479166666667</x:v>
      </x:c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19" t="str">
        <x:v>Solapamiento y separación temporal</x:v>
      </x:c>
      <x:c r="O39" s="20"/>
      <x:c r="P39" s="20"/>
      <x:c r="Q39" s="20"/>
      <x:c r="R39" s="20"/>
      <x:c r="S39" s="20"/>
      <x:c r="T39" s="21"/>
      <x:c r="U39" s="2"/>
      <x:c r="V39" s="2"/>
      <x:c r="W39" s="2"/>
      <x:c r="X39" s="2"/>
      <x:c r="Y39" s="2"/>
      <x:c r="Z39" s="2"/>
    </x:row>
    <x:row r="40">
      <x:c r="A40" s="36" t="n">
        <x:v>1983</x:v>
      </x:c>
      <x:c r="B40" s="67" t="n">
        <x:v>-1.7072916666666664</x:v>
      </x:c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6" t="str">
        <x:v>Días compartidos</x:v>
      </x:c>
      <x:c r="O40" s="27" t="str">
        <x:v>n</x:v>
      </x:c>
      <x:c r="P40" s="27" t="str">
        <x:v>Media</x:v>
      </x:c>
      <x:c r="Q40" s="27" t="str">
        <x:v>IC inferior</x:v>
      </x:c>
      <x:c r="R40" s="27" t="str">
        <x:v>IC superior</x:v>
      </x:c>
      <x:c r="S40" s="27" t="str">
        <x:v>p</x:v>
      </x:c>
      <x:c r="T40" s="28" t="str">
        <x:v>% B&gt;A</x:v>
      </x:c>
      <x:c r="U40" s="2"/>
      <x:c r="V40" s="2"/>
      <x:c r="W40" s="2"/>
      <x:c r="X40" s="2"/>
      <x:c r="Y40" s="2"/>
      <x:c r="Z40" s="2"/>
    </x:row>
    <x:row r="41">
      <x:c r="A41" s="36" t="n">
        <x:v>1984</x:v>
      </x:c>
      <x:c r="B41" s="67" t="n">
        <x:v>-0.6791666666666671</x:v>
      </x:c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32" t="n">
        <x:v>0</x:v>
      </x:c>
      <x:c r="O41" s="32" t="n">
        <x:v>43</x:v>
      </x:c>
      <x:c r="P41" s="66" t="n">
        <x:v>1.2360222868217057</x:v>
      </x:c>
      <x:c r="Q41" s="66" t="n">
        <x:v>0.5144743599495492</x:v>
      </x:c>
      <x:c r="R41" s="66" t="n">
        <x:v>1.9575702136938622</x:v>
      </x:c>
      <x:c r="S41" s="34" t="n">
        <x:v>0.0012634726699818138</x:v>
      </x:c>
      <x:c r="T41" s="52" t="n">
        <x:v>0.6511627906976745</x:v>
      </x:c>
      <x:c r="U41" s="2"/>
      <x:c r="V41" s="2"/>
      <x:c r="W41" s="2"/>
      <x:c r="X41" s="2"/>
      <x:c r="Y41" s="2"/>
      <x:c r="Z41" s="2"/>
    </x:row>
    <x:row r="42">
      <x:c r="A42" s="36" t="n">
        <x:v>1985</x:v>
      </x:c>
      <x:c r="B42" s="67" t="n">
        <x:v>-0.5552083333333329</x:v>
      </x:c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36" t="n">
        <x:v>1</x:v>
      </x:c>
      <x:c r="O42" s="36" t="n">
        <x:v>11</x:v>
      </x:c>
      <x:c r="P42" s="67" t="n">
        <x:v>-0.09214015151515104</x:v>
      </x:c>
      <x:c r="Q42" s="67" t="n">
        <x:v>-1.125616174144892</x:v>
      </x:c>
      <x:c r="R42" s="67" t="n">
        <x:v>0.94133587111459</x:v>
      </x:c>
      <x:c r="S42" s="38" t="n">
        <x:v>0.8465163541646856</x:v>
      </x:c>
      <x:c r="T42" s="53" t="n">
        <x:v>0.36363636363636365</x:v>
      </x:c>
      <x:c r="U42" s="2"/>
      <x:c r="V42" s="2"/>
      <x:c r="W42" s="2"/>
      <x:c r="X42" s="2"/>
      <x:c r="Y42" s="2"/>
      <x:c r="Z42" s="2"/>
    </x:row>
    <x:row r="43">
      <x:c r="A43" s="36" t="n">
        <x:v>1986</x:v>
      </x:c>
      <x:c r="B43" s="67" t="n">
        <x:v>-2.7760416666666643</x:v>
      </x:c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36" t="n">
        <x:v>2</x:v>
      </x:c>
      <x:c r="O43" s="36" t="n">
        <x:v>11</x:v>
      </x:c>
      <x:c r="P43" s="67" t="n">
        <x:v>0.32348484848484915</x:v>
      </x:c>
      <x:c r="Q43" s="67" t="n">
        <x:v>-0.3428224196074404</x:v>
      </x:c>
      <x:c r="R43" s="67" t="n">
        <x:v>0.9897921165771387</x:v>
      </x:c>
      <x:c r="S43" s="38" t="n">
        <x:v>0.3047647830566243</x:v>
      </x:c>
      <x:c r="T43" s="53" t="n">
        <x:v>0.5454545454545454</x:v>
      </x:c>
      <x:c r="U43" s="2"/>
      <x:c r="V43" s="2"/>
      <x:c r="W43" s="2"/>
      <x:c r="X43" s="2"/>
      <x:c r="Y43" s="2"/>
      <x:c r="Z43" s="2"/>
    </x:row>
    <x:row r="44">
      <x:c r="A44" s="36" t="n">
        <x:v>1987</x:v>
      </x:c>
      <x:c r="B44" s="67" t="n">
        <x:v>-1.5541666666666636</x:v>
      </x:c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40" t="n">
        <x:v>3</x:v>
      </x:c>
      <x:c r="O44" s="40" t="n">
        <x:v>11</x:v>
      </x:c>
      <x:c r="P44" s="68" t="n">
        <x:v>-0.09242424242424169</x:v>
      </x:c>
      <x:c r="Q44" s="68" t="n">
        <x:v>-0.32382069669130203</x:v>
      </x:c>
      <x:c r="R44" s="68" t="n">
        <x:v>0.13897221184281866</x:v>
      </x:c>
      <x:c r="S44" s="42" t="n">
        <x:v>0.3943925350146276</x:v>
      </x:c>
      <x:c r="T44" s="51" t="n">
        <x:v>0.36363636363636365</x:v>
      </x:c>
      <x:c r="U44" s="2"/>
      <x:c r="V44" s="2"/>
      <x:c r="W44" s="2"/>
      <x:c r="X44" s="2"/>
      <x:c r="Y44" s="2"/>
      <x:c r="Z44" s="2"/>
    </x:row>
    <x:row r="45">
      <x:c r="A45" s="36" t="n">
        <x:v>1988</x:v>
      </x:c>
      <x:c r="B45" s="67" t="n">
        <x:v>1.6239583333333343</x:v>
      </x:c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36" t="n">
        <x:v>1989</x:v>
      </x:c>
      <x:c r="B46" s="67" t="n">
        <x:v>5.5781250000000036</x:v>
      </x:c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36" t="n">
        <x:v>1990</x:v>
      </x:c>
      <x:c r="B47" s="67" t="n">
        <x:v>-0.5947916666666657</x:v>
      </x:c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6" t="str">
        <x:v>Modelo HAC</x:v>
      </x:c>
      <x:c r="O47" s="27" t="str">
        <x:v>Estimación</x:v>
      </x:c>
      <x:c r="P47" s="27" t="str">
        <x:v>IC inferior</x:v>
      </x:c>
      <x:c r="Q47" s="28" t="str">
        <x:v>IC superior</x:v>
      </x:c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36" t="n">
        <x:v>1991</x:v>
      </x:c>
      <x:c r="B48" s="67" t="n">
        <x:v>2.0791666666666693</x:v>
      </x:c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32" t="str">
        <x:v>Media B − A</x:v>
      </x:c>
      <x:c r="O48" s="66" t="n">
        <x:v>0.7194353070175443</x:v>
      </x:c>
      <x:c r="P48" s="66" t="n">
        <x:v>0.3088280734888584</x:v>
      </x:c>
      <x:c r="Q48" s="66" t="n">
        <x:v>1.1300425405462302</x:v>
      </x:c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36" t="n">
        <x:v>1992</x:v>
      </x:c>
      <x:c r="B49" s="67" t="n">
        <x:v>1.6822916666666643</x:v>
      </x:c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36" t="str">
        <x:v>Tendencia por década</x:v>
      </x:c>
      <x:c r="O49" s="67" t="n">
        <x:v>0.025992253360674247</x:v>
      </x:c>
      <x:c r="P49" s="67" t="n">
        <x:v>-0.1431194851753292</x:v>
      </x:c>
      <x:c r="Q49" s="67" t="n">
        <x:v>0.19510399189667765</x:v>
      </x:c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36" t="n">
        <x:v>1993</x:v>
      </x:c>
      <x:c r="B50" s="67" t="n">
        <x:v>-3.3427083333333343</x:v>
      </x:c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36" t="str">
        <x:v>Efecto por día de separación</x:v>
      </x:c>
      <x:c r="O50" s="67" t="n">
        <x:v>0.3360929526075884</x:v>
      </x:c>
      <x:c r="P50" s="67" t="n">
        <x:v>0.14936548464385588</x:v>
      </x:c>
      <x:c r="Q50" s="67" t="n">
        <x:v>0.5228204205713209</x:v>
      </x:c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36" t="n">
        <x:v>1994</x:v>
      </x:c>
      <x:c r="B51" s="67" t="n">
        <x:v>3.2062500000000043</x:v>
      </x:c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36" t="str">
        <x:v>Media ajustada</x:v>
      </x:c>
      <x:c r="O51" s="67" t="n">
        <x:v>0.7194353070175442</x:v>
      </x:c>
      <x:c r="P51" s="67" t="n">
        <x:v>0.31261178805769263</x:v>
      </x:c>
      <x:c r="Q51" s="67" t="n">
        <x:v>1.1262588259773958</x:v>
      </x:c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36" t="n">
        <x:v>1995</x:v>
      </x:c>
      <x:c r="B52" s="67" t="n">
        <x:v>-0.9791666666666679</x:v>
      </x:c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40" t="str">
        <x:v>Sin solapamiento</x:v>
      </x:c>
      <x:c r="O52" s="68" t="n">
        <x:v>1.2360222868217057</x:v>
      </x:c>
      <x:c r="P52" s="68" t="n">
        <x:v>0.5144743599495492</x:v>
      </x:c>
      <x:c r="Q52" s="68" t="n">
        <x:v>1.9575702136938622</x:v>
      </x:c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36" t="n">
        <x:v>1996</x:v>
      </x:c>
      <x:c r="B53" s="67" t="n">
        <x:v>0.14479166666666643</x:v>
      </x:c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36" t="n">
        <x:v>1997</x:v>
      </x:c>
      <x:c r="B54" s="67" t="n">
        <x:v>-0.3697916666666643</x:v>
      </x:c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36" t="n">
        <x:v>1998</x:v>
      </x:c>
      <x:c r="B55" s="67" t="n">
        <x:v>-2.305208333333333</x:v>
      </x:c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36" t="n">
        <x:v>1999</x:v>
      </x:c>
      <x:c r="B56" s="67" t="n">
        <x:v>1.2572916666666671</x:v>
      </x:c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36" t="n">
        <x:v>2000</x:v>
      </x:c>
      <x:c r="B57" s="67" t="n">
        <x:v>2.088541666666668</x:v>
      </x:c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36" t="n">
        <x:v>2001</x:v>
      </x:c>
      <x:c r="B58" s="67" t="n">
        <x:v>-0.19895833333333357</x:v>
      </x:c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36" t="n">
        <x:v>2002</x:v>
      </x:c>
      <x:c r="B59" s="67" t="n">
        <x:v>-0.4291666666666636</x:v>
      </x:c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36" t="n">
        <x:v>2003</x:v>
      </x:c>
      <x:c r="B60" s="67" t="n">
        <x:v>2.4197916666666686</x:v>
      </x:c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36" t="n">
        <x:v>2004</x:v>
      </x:c>
      <x:c r="B61" s="67" t="n">
        <x:v>0.7854166666666664</x:v>
      </x:c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36" t="n">
        <x:v>2005</x:v>
      </x:c>
      <x:c r="B62" s="67" t="n">
        <x:v>0.185416666666665</x:v>
      </x:c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36" t="n">
        <x:v>2006</x:v>
      </x:c>
      <x:c r="B63" s="67" t="n">
        <x:v>-0.8822916666666671</x:v>
      </x:c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36" t="n">
        <x:v>2007</x:v>
      </x:c>
      <x:c r="B64" s="67" t="n">
        <x:v>-0.2958333333333343</x:v>
      </x:c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36" t="n">
        <x:v>2008</x:v>
      </x:c>
      <x:c r="B65" s="67" t="n">
        <x:v>-0.578125</x:v>
      </x:c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36" t="n">
        <x:v>2009</x:v>
      </x:c>
      <x:c r="B66" s="67" t="n">
        <x:v>-1.3666666666666671</x:v>
      </x:c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36" t="n">
        <x:v>2010</x:v>
      </x:c>
      <x:c r="B67" s="67" t="n">
        <x:v>4.21875</x:v>
      </x:c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36" t="n">
        <x:v>2011</x:v>
      </x:c>
      <x:c r="B68" s="67" t="n">
        <x:v>2.726041666666667</x:v>
      </x:c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36" t="n">
        <x:v>2012</x:v>
      </x:c>
      <x:c r="B69" s="67" t="n">
        <x:v>0.2749999999999986</x:v>
      </x:c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36" t="n">
        <x:v>2013</x:v>
      </x:c>
      <x:c r="B70" s="67" t="n">
        <x:v>-0.8125</x:v>
      </x:c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36" t="n">
        <x:v>2014</x:v>
      </x:c>
      <x:c r="B71" s="67" t="n">
        <x:v>-1.4093750000000043</x:v>
      </x:c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36" t="n">
        <x:v>2015</x:v>
      </x:c>
      <x:c r="B72" s="67" t="n">
        <x:v>3.423958333333335</x:v>
      </x:c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36" t="n">
        <x:v>2016</x:v>
      </x:c>
      <x:c r="B73" s="67" t="n">
        <x:v>0.28125000000000355</x:v>
      </x:c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36" t="n">
        <x:v>2017</x:v>
      </x:c>
      <x:c r="B74" s="67" t="n">
        <x:v>4.704166666666666</x:v>
      </x:c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36" t="n">
        <x:v>2018</x:v>
      </x:c>
      <x:c r="B75" s="67" t="n">
        <x:v>-0.007291666666663588</x:v>
      </x:c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36" t="n">
        <x:v>2019</x:v>
      </x:c>
      <x:c r="B76" s="67" t="n">
        <x:v>0.31979166666666714</x:v>
      </x:c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36" t="n">
        <x:v>2020</x:v>
      </x:c>
      <x:c r="B77" s="67" t="n">
        <x:v>1.8374999999999986</x:v>
      </x:c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36" t="n">
        <x:v>2021</x:v>
      </x:c>
      <x:c r="B78" s="67" t="n">
        <x:v>3.326041666666665</x:v>
      </x:c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36" t="n">
        <x:v>2022</x:v>
      </x:c>
      <x:c r="B79" s="67" t="n">
        <x:v>-0.66041666666667</x:v>
      </x:c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36" t="n">
        <x:v>2023</x:v>
      </x:c>
      <x:c r="B80" s="67" t="n">
        <x:v>4.126041666666666</x:v>
      </x:c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36" t="n">
        <x:v>2024</x:v>
      </x:c>
      <x:c r="B81" s="67" t="n">
        <x:v>0.5677083333333321</x:v>
      </x:c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40" t="n">
        <x:v>2025</x:v>
      </x:c>
      <x:c r="B82" s="68" t="n">
        <x:v>1.1520833333333336</x:v>
      </x:c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</x:sheetData>
  <x:pageMargins left="0.7" right="0.7" top="0.75" bottom="0.75" header="0.3" footer="0.3"/>
  <x:drawing xmlns:r="http://schemas.openxmlformats.org/officeDocument/2006/relationships" r:id="Rcb28e9c7eaea4d17"/>
</x:worksheet>
</file>

<file path=xl/worksheets/sheet3.xml><?xml version="1.0" encoding="utf-8"?>
<x:worksheet xmlns:x="http://schemas.openxmlformats.org/spreadsheetml/2006/main">
  <x:sheetViews>
    <x:sheetView showGridLines="0" workbookViewId="0">
      <x:pane xSplit="5" ySplit="5" topLeftCell="F6" activePane="bottomRight" state="frozen"/>
    </x:sheetView>
  </x:sheetViews>
  <x:sheetFormatPr defaultRowHeight="15"/>
  <x:cols>
    <x:col min="1" max="1" width="9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3" t="str">
        <x:v>Datos anuales utilizados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79" t="str">
        <x:v>Fuente: Comparacion_climatologica_Castalla_A_vs_B.xlsx. ERA5-Land/Copernicus-ECMWF mediante Open-Meteo Historical Weather API; Castalla, 38.5964° N, 0.6722° O; elevación 675 m.</x:v>
      </x:c>
      <x:c r="B4" s="79"/>
      <x:c r="C4" s="79"/>
      <x:c r="D4" s="79"/>
      <x:c r="E4" s="79"/>
      <x:c r="F4" s="79"/>
      <x:c r="G4" s="79"/>
      <x:c r="H4" s="79"/>
      <x:c r="I4" s="79"/>
      <x:c r="J4" s="79"/>
      <x:c r="K4" s="79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>
      <x:c r="A5" s="26" t="str">
        <x:v>Año</x:v>
      </x:c>
      <x:c r="B5" s="27" t="str">
        <x:v>Inicio A</x:v>
      </x:c>
      <x:c r="C5" s="27" t="str">
        <x:v>Inicio B</x:v>
      </x:c>
      <x:c r="D5" s="27" t="str">
        <x:v>Días solapados</x:v>
      </x:c>
      <x:c r="E5" s="27" t="str">
        <x:v>Separación (días)</x:v>
      </x:c>
      <x:c r="F5" s="27" t="str">
        <x:v>T media A</x:v>
      </x:c>
      <x:c r="G5" s="27" t="str">
        <x:v>T media B</x:v>
      </x:c>
      <x:c r="H5" s="27" t="str">
        <x:v>B − A T media</x:v>
      </x:c>
      <x:c r="I5" s="27" t="str">
        <x:v>Tmax A</x:v>
      </x:c>
      <x:c r="J5" s="27" t="str">
        <x:v>Tmax B</x:v>
      </x:c>
      <x:c r="K5" s="27" t="str">
        <x:v>B − A Tmax</x:v>
      </x:c>
      <x:c r="L5" s="27" t="str">
        <x:v>Tmin A</x:v>
      </x:c>
      <x:c r="M5" s="27" t="str">
        <x:v>Tmin B</x:v>
      </x:c>
      <x:c r="N5" s="27" t="str">
        <x:v>B − A Tmin</x:v>
      </x:c>
      <x:c r="O5" s="27" t="str">
        <x:v>T aparente A</x:v>
      </x:c>
      <x:c r="P5" s="27" t="str">
        <x:v>T aparente B</x:v>
      </x:c>
      <x:c r="Q5" s="27" t="str">
        <x:v>B − A T aparente</x:v>
      </x:c>
      <x:c r="R5" s="27" t="str">
        <x:v>&gt;30 A</x:v>
      </x:c>
      <x:c r="S5" s="27" t="str">
        <x:v>&gt;30 B</x:v>
      </x:c>
      <x:c r="T5" s="27" t="str">
        <x:v>B − A &gt;30</x:v>
      </x:c>
      <x:c r="U5" s="27" t="str">
        <x:v>&gt;32 A</x:v>
      </x:c>
      <x:c r="V5" s="27" t="str">
        <x:v>&gt;32 B</x:v>
      </x:c>
      <x:c r="W5" s="27" t="str">
        <x:v>B − A &gt;32</x:v>
      </x:c>
      <x:c r="X5" s="27" t="str">
        <x:v>&gt;35 A</x:v>
      </x:c>
      <x:c r="Y5" s="27" t="str">
        <x:v>&gt;35 B</x:v>
      </x:c>
      <x:c r="Z5" s="28" t="str">
        <x:v>B − A &gt;35</x:v>
      </x:c>
    </x:row>
    <x:row r="6" ht="19" customHeight="1">
      <x:c r="A6" s="32" t="n">
        <x:v>1950</x:v>
      </x:c>
      <x:c r="B6" s="84" t="n">
        <x:v>18507</x:v>
      </x:c>
      <x:c r="C6" s="84" t="n">
        <x:v>18500</x:v>
      </x:c>
      <x:c r="D6" s="32" t="n">
        <x:v>0</x:v>
      </x:c>
      <x:c r="E6" s="32" t="n">
        <x:v>7</x:v>
      </x:c>
      <x:c r="F6" s="66" t="n">
        <x:v>20.989583333333336</x:v>
      </x:c>
      <x:c r="G6" s="66" t="n">
        <x:v>24.667708333333334</x:v>
      </x:c>
      <x:c r="H6" s="85" t="n">
        <x:f>G6-F6</x:f>
        <x:v>3.678124999999998</x:v>
      </x:c>
      <x:c r="I6" s="66" t="n">
        <x:v>30</x:v>
      </x:c>
      <x:c r="J6" s="66" t="n">
        <x:v>32.2</x:v>
      </x:c>
      <x:c r="K6" s="85" t="n">
        <x:f>J6-I6</x:f>
        <x:v>2.200000000000003</x:v>
      </x:c>
      <x:c r="L6" s="66" t="n">
        <x:v>13.9</x:v>
      </x:c>
      <x:c r="M6" s="66" t="n">
        <x:v>16.3</x:v>
      </x:c>
      <x:c r="N6" s="85" t="n">
        <x:f>M6-L6</x:f>
        <x:v>2.4000000000000004</x:v>
      </x:c>
      <x:c r="O6" s="66" t="n">
        <x:v>20.46666666666667</x:v>
      </x:c>
      <x:c r="P6" s="66" t="n">
        <x:v>23.79375</x:v>
      </x:c>
      <x:c r="Q6" s="85" t="n">
        <x:f>P6-O6</x:f>
        <x:v>3.3270833333333307</x:v>
      </x:c>
      <x:c r="R6" s="86" t="n">
        <x:v>0</x:v>
      </x:c>
      <x:c r="S6" s="86" t="n">
        <x:v>1</x:v>
      </x:c>
      <x:c r="T6" s="87" t="n">
        <x:f>S6-R6</x:f>
        <x:v>1</x:v>
      </x:c>
      <x:c r="U6" s="86" t="n">
        <x:v>0</x:v>
      </x:c>
      <x:c r="V6" s="86" t="n">
        <x:v>1</x:v>
      </x:c>
      <x:c r="W6" s="87" t="n">
        <x:f>V6-U6</x:f>
        <x:v>1</x:v>
      </x:c>
      <x:c r="X6" s="86" t="n">
        <x:v>0</x:v>
      </x:c>
      <x:c r="Y6" s="86" t="n">
        <x:v>0</x:v>
      </x:c>
      <x:c r="Z6" s="87" t="n">
        <x:f>Y6-X6</x:f>
        <x:v>0</x:v>
      </x:c>
    </x:row>
    <x:row r="7" ht="19" customHeight="1">
      <x:c r="A7" s="36" t="n">
        <x:v>1951</x:v>
      </x:c>
      <x:c r="B7" s="88" t="n">
        <x:v>18872</x:v>
      </x:c>
      <x:c r="C7" s="88" t="n">
        <x:v>18871</x:v>
      </x:c>
      <x:c r="D7" s="36" t="n">
        <x:v>3</x:v>
      </x:c>
      <x:c r="E7" s="36" t="n">
        <x:v>1</x:v>
      </x:c>
      <x:c r="F7" s="67" t="n">
        <x:v>23.221874999999997</x:v>
      </x:c>
      <x:c r="G7" s="67" t="n">
        <x:v>23.365625</x:v>
      </x:c>
      <x:c r="H7" s="89" t="n">
        <x:f>G7-F7</x:f>
        <x:v>0.14375000000000426</x:v>
      </x:c>
      <x:c r="I7" s="67" t="n">
        <x:v>31.3</x:v>
      </x:c>
      <x:c r="J7" s="67" t="n">
        <x:v>31.3</x:v>
      </x:c>
      <x:c r="K7" s="89" t="n">
        <x:f>J7-I7</x:f>
        <x:v>0</x:v>
      </x:c>
      <x:c r="L7" s="67" t="n">
        <x:v>15.9</x:v>
      </x:c>
      <x:c r="M7" s="67" t="n">
        <x:v>15.9</x:v>
      </x:c>
      <x:c r="N7" s="89" t="n">
        <x:f>M7-L7</x:f>
        <x:v>0</x:v>
      </x:c>
      <x:c r="O7" s="67" t="n">
        <x:v>23.280208333333334</x:v>
      </x:c>
      <x:c r="P7" s="67" t="n">
        <x:v>22.702083333333334</x:v>
      </x:c>
      <x:c r="Q7" s="89" t="n">
        <x:f>P7-O7</x:f>
        <x:v>-0.578125</x:v>
      </x:c>
      <x:c r="R7" s="90" t="n">
        <x:v>1</x:v>
      </x:c>
      <x:c r="S7" s="90" t="n">
        <x:v>1</x:v>
      </x:c>
      <x:c r="T7" s="91" t="n">
        <x:f>S7-R7</x:f>
        <x:v>0</x:v>
      </x:c>
      <x:c r="U7" s="90" t="n">
        <x:v>0</x:v>
      </x:c>
      <x:c r="V7" s="90" t="n">
        <x:v>0</x:v>
      </x:c>
      <x:c r="W7" s="91" t="n">
        <x:f>V7-U7</x:f>
        <x:v>0</x:v>
      </x:c>
      <x:c r="X7" s="90" t="n">
        <x:v>0</x:v>
      </x:c>
      <x:c r="Y7" s="90" t="n">
        <x:v>0</x:v>
      </x:c>
      <x:c r="Z7" s="91" t="n">
        <x:f>Y7-X7</x:f>
        <x:v>0</x:v>
      </x:c>
    </x:row>
    <x:row r="8" ht="19" customHeight="1">
      <x:c r="A8" s="36" t="n">
        <x:v>1952</x:v>
      </x:c>
      <x:c r="B8" s="88" t="n">
        <x:v>19238</x:v>
      </x:c>
      <x:c r="C8" s="88" t="n">
        <x:v>19235</x:v>
      </x:c>
      <x:c r="D8" s="36" t="n">
        <x:v>1</x:v>
      </x:c>
      <x:c r="E8" s="36" t="n">
        <x:v>3</x:v>
      </x:c>
      <x:c r="F8" s="67" t="n">
        <x:v>20.983333333333334</x:v>
      </x:c>
      <x:c r="G8" s="67" t="n">
        <x:v>21.685416666666665</x:v>
      </x:c>
      <x:c r="H8" s="89" t="n">
        <x:f>G8-F8</x:f>
        <x:v>0.7020833333333307</x:v>
      </x:c>
      <x:c r="I8" s="67" t="n">
        <x:v>27.1</x:v>
      </x:c>
      <x:c r="J8" s="67" t="n">
        <x:v>28.6</x:v>
      </x:c>
      <x:c r="K8" s="89" t="n">
        <x:f>J8-I8</x:f>
        <x:v>1.5</x:v>
      </x:c>
      <x:c r="L8" s="67" t="n">
        <x:v>15.7</x:v>
      </x:c>
      <x:c r="M8" s="67" t="n">
        <x:v>15.1</x:v>
      </x:c>
      <x:c r="N8" s="89" t="n">
        <x:f>M8-L8</x:f>
        <x:v>-0.5999999999999996</x:v>
      </x:c>
      <x:c r="O8" s="67" t="n">
        <x:v>21.805208333333333</x:v>
      </x:c>
      <x:c r="P8" s="67" t="n">
        <x:v>21.709375</x:v>
      </x:c>
      <x:c r="Q8" s="89" t="n">
        <x:f>P8-O8</x:f>
        <x:v>-0.09583333333333144</x:v>
      </x:c>
      <x:c r="R8" s="90" t="n">
        <x:v>0</x:v>
      </x:c>
      <x:c r="S8" s="90" t="n">
        <x:v>0</x:v>
      </x:c>
      <x:c r="T8" s="91" t="n">
        <x:f>S8-R8</x:f>
        <x:v>0</x:v>
      </x:c>
      <x:c r="U8" s="90" t="n">
        <x:v>0</x:v>
      </x:c>
      <x:c r="V8" s="90" t="n">
        <x:v>0</x:v>
      </x:c>
      <x:c r="W8" s="91" t="n">
        <x:f>V8-U8</x:f>
        <x:v>0</x:v>
      </x:c>
      <x:c r="X8" s="90" t="n">
        <x:v>0</x:v>
      </x:c>
      <x:c r="Y8" s="90" t="n">
        <x:v>0</x:v>
      </x:c>
      <x:c r="Z8" s="91" t="n">
        <x:f>Y8-X8</x:f>
        <x:v>0</x:v>
      </x:c>
    </x:row>
    <x:row r="9" ht="19" customHeight="1">
      <x:c r="A9" s="36" t="n">
        <x:v>1953</x:v>
      </x:c>
      <x:c r="B9" s="88" t="n">
        <x:v>19603</x:v>
      </x:c>
      <x:c r="C9" s="88" t="n">
        <x:v>19599</x:v>
      </x:c>
      <x:c r="D9" s="36" t="n">
        <x:v>0</x:v>
      </x:c>
      <x:c r="E9" s="36" t="n">
        <x:v>4</x:v>
      </x:c>
      <x:c r="F9" s="67" t="n">
        <x:v>21.957291666666666</x:v>
      </x:c>
      <x:c r="G9" s="67" t="n">
        <x:v>22.972916666666666</x:v>
      </x:c>
      <x:c r="H9" s="89" t="n">
        <x:f>G9-F9</x:f>
        <x:v>1.015625</x:v>
      </x:c>
      <x:c r="I9" s="67" t="n">
        <x:v>29.1</x:v>
      </x:c>
      <x:c r="J9" s="67" t="n">
        <x:v>29.9</x:v>
      </x:c>
      <x:c r="K9" s="89" t="n">
        <x:f>J9-I9</x:f>
        <x:v>0.7999999999999972</x:v>
      </x:c>
      <x:c r="L9" s="67" t="n">
        <x:v>15.2</x:v>
      </x:c>
      <x:c r="M9" s="67" t="n">
        <x:v>15.5</x:v>
      </x:c>
      <x:c r="N9" s="89" t="n">
        <x:f>M9-L9</x:f>
        <x:v>0.3000000000000007</x:v>
      </x:c>
      <x:c r="O9" s="67" t="n">
        <x:v>22.427083333333336</x:v>
      </x:c>
      <x:c r="P9" s="67" t="n">
        <x:v>23.627083333333335</x:v>
      </x:c>
      <x:c r="Q9" s="89" t="n">
        <x:f>P9-O9</x:f>
        <x:v>1.1999999999999993</x:v>
      </x:c>
      <x:c r="R9" s="90" t="n">
        <x:v>0</x:v>
      </x:c>
      <x:c r="S9" s="90" t="n">
        <x:v>0</x:v>
      </x:c>
      <x:c r="T9" s="91" t="n">
        <x:f>S9-R9</x:f>
        <x:v>0</x:v>
      </x:c>
      <x:c r="U9" s="90" t="n">
        <x:v>0</x:v>
      </x:c>
      <x:c r="V9" s="90" t="n">
        <x:v>0</x:v>
      </x:c>
      <x:c r="W9" s="91" t="n">
        <x:f>V9-U9</x:f>
        <x:v>0</x:v>
      </x:c>
      <x:c r="X9" s="90" t="n">
        <x:v>0</x:v>
      </x:c>
      <x:c r="Y9" s="90" t="n">
        <x:v>0</x:v>
      </x:c>
      <x:c r="Z9" s="91" t="n">
        <x:f>Y9-X9</x:f>
        <x:v>0</x:v>
      </x:c>
    </x:row>
    <x:row r="10" ht="19" customHeight="1">
      <x:c r="A10" s="36" t="n">
        <x:v>1954</x:v>
      </x:c>
      <x:c r="B10" s="88" t="n">
        <x:v>19968</x:v>
      </x:c>
      <x:c r="C10" s="88" t="n">
        <x:v>19963</x:v>
      </x:c>
      <x:c r="D10" s="36" t="n">
        <x:v>0</x:v>
      </x:c>
      <x:c r="E10" s="36" t="n">
        <x:v>5</x:v>
      </x:c>
      <x:c r="F10" s="67" t="n">
        <x:v>21.690624999999997</x:v>
      </x:c>
      <x:c r="G10" s="67" t="n">
        <x:v>21.290625000000002</x:v>
      </x:c>
      <x:c r="H10" s="89" t="n">
        <x:f>G10-F10</x:f>
        <x:v>-0.399999999999995</x:v>
      </x:c>
      <x:c r="I10" s="67" t="n">
        <x:v>29.3</x:v>
      </x:c>
      <x:c r="J10" s="67" t="n">
        <x:v>28.6</x:v>
      </x:c>
      <x:c r="K10" s="89" t="n">
        <x:f>J10-I10</x:f>
        <x:v>-0.6999999999999993</x:v>
      </x:c>
      <x:c r="L10" s="67" t="n">
        <x:v>14.7</x:v>
      </x:c>
      <x:c r="M10" s="67" t="n">
        <x:v>16</x:v>
      </x:c>
      <x:c r="N10" s="89" t="n">
        <x:f>M10-L10</x:f>
        <x:v>1.3000000000000007</x:v>
      </x:c>
      <x:c r="O10" s="67" t="n">
        <x:v>21.851041666666667</x:v>
      </x:c>
      <x:c r="P10" s="67" t="n">
        <x:v>21.526041666666668</x:v>
      </x:c>
      <x:c r="Q10" s="89" t="n">
        <x:f>P10-O10</x:f>
        <x:v>-0.3249999999999993</x:v>
      </x:c>
      <x:c r="R10" s="90" t="n">
        <x:v>0</x:v>
      </x:c>
      <x:c r="S10" s="90" t="n">
        <x:v>0</x:v>
      </x:c>
      <x:c r="T10" s="91" t="n">
        <x:f>S10-R10</x:f>
        <x:v>0</x:v>
      </x:c>
      <x:c r="U10" s="90" t="n">
        <x:v>0</x:v>
      </x:c>
      <x:c r="V10" s="90" t="n">
        <x:v>0</x:v>
      </x:c>
      <x:c r="W10" s="91" t="n">
        <x:f>V10-U10</x:f>
        <x:v>0</x:v>
      </x:c>
      <x:c r="X10" s="90" t="n">
        <x:v>0</x:v>
      </x:c>
      <x:c r="Y10" s="90" t="n">
        <x:v>0</x:v>
      </x:c>
      <x:c r="Z10" s="91" t="n">
        <x:f>Y10-X10</x:f>
        <x:v>0</x:v>
      </x:c>
    </x:row>
    <x:row r="11" ht="19" customHeight="1">
      <x:c r="A11" s="36" t="n">
        <x:v>1955</x:v>
      </x:c>
      <x:c r="B11" s="88" t="n">
        <x:v>20333</x:v>
      </x:c>
      <x:c r="C11" s="88" t="n">
        <x:v>20327</x:v>
      </x:c>
      <x:c r="D11" s="36" t="n">
        <x:v>0</x:v>
      </x:c>
      <x:c r="E11" s="36" t="n">
        <x:v>6</x:v>
      </x:c>
      <x:c r="F11" s="67" t="n">
        <x:v>22.821875</x:v>
      </x:c>
      <x:c r="G11" s="67" t="n">
        <x:v>23.303125</x:v>
      </x:c>
      <x:c r="H11" s="89" t="n">
        <x:f>G11-F11</x:f>
        <x:v>0.48125000000000284</x:v>
      </x:c>
      <x:c r="I11" s="67" t="n">
        <x:v>31.3</x:v>
      </x:c>
      <x:c r="J11" s="67" t="n">
        <x:v>31.6</x:v>
      </x:c>
      <x:c r="K11" s="89" t="n">
        <x:f>J11-I11</x:f>
        <x:v>0.3000000000000007</x:v>
      </x:c>
      <x:c r="L11" s="67" t="n">
        <x:v>16.6</x:v>
      </x:c>
      <x:c r="M11" s="67" t="n">
        <x:v>18.5</x:v>
      </x:c>
      <x:c r="N11" s="89" t="n">
        <x:f>M11-L11</x:f>
        <x:v>1.8999999999999986</x:v>
      </x:c>
      <x:c r="O11" s="67" t="n">
        <x:v>22.954166666666666</x:v>
      </x:c>
      <x:c r="P11" s="67" t="n">
        <x:v>23.81041666666667</x:v>
      </x:c>
      <x:c r="Q11" s="89" t="n">
        <x:f>P11-O11</x:f>
        <x:v>0.8562500000000028</x:v>
      </x:c>
      <x:c r="R11" s="90" t="n">
        <x:v>1</x:v>
      </x:c>
      <x:c r="S11" s="90" t="n">
        <x:v>1</x:v>
      </x:c>
      <x:c r="T11" s="91" t="n">
        <x:f>S11-R11</x:f>
        <x:v>0</x:v>
      </x:c>
      <x:c r="U11" s="90" t="n">
        <x:v>0</x:v>
      </x:c>
      <x:c r="V11" s="90" t="n">
        <x:v>0</x:v>
      </x:c>
      <x:c r="W11" s="91" t="n">
        <x:f>V11-U11</x:f>
        <x:v>0</x:v>
      </x:c>
      <x:c r="X11" s="90" t="n">
        <x:v>0</x:v>
      </x:c>
      <x:c r="Y11" s="90" t="n">
        <x:v>0</x:v>
      </x:c>
      <x:c r="Z11" s="91" t="n">
        <x:f>Y11-X11</x:f>
        <x:v>0</x:v>
      </x:c>
    </x:row>
    <x:row r="12" ht="19" customHeight="1">
      <x:c r="A12" s="36" t="n">
        <x:v>1956</x:v>
      </x:c>
      <x:c r="B12" s="88" t="n">
        <x:v>20699</x:v>
      </x:c>
      <x:c r="C12" s="88" t="n">
        <x:v>20698</x:v>
      </x:c>
      <x:c r="D12" s="36" t="n">
        <x:v>3</x:v>
      </x:c>
      <x:c r="E12" s="36" t="n">
        <x:v>1</x:v>
      </x:c>
      <x:c r="F12" s="67" t="n">
        <x:v>20.005208333333332</x:v>
      </x:c>
      <x:c r="G12" s="67" t="n">
        <x:v>20.469791666666666</x:v>
      </x:c>
      <x:c r="H12" s="89" t="n">
        <x:f>G12-F12</x:f>
        <x:v>0.46458333333333357</x:v>
      </x:c>
      <x:c r="I12" s="67" t="n">
        <x:v>28.3</x:v>
      </x:c>
      <x:c r="J12" s="67" t="n">
        <x:v>28.3</x:v>
      </x:c>
      <x:c r="K12" s="89" t="n">
        <x:f>J12-I12</x:f>
        <x:v>0</x:v>
      </x:c>
      <x:c r="L12" s="67" t="n">
        <x:v>11.5</x:v>
      </x:c>
      <x:c r="M12" s="67" t="n">
        <x:v>11.5</x:v>
      </x:c>
      <x:c r="N12" s="89" t="n">
        <x:f>M12-L12</x:f>
        <x:v>0</x:v>
      </x:c>
      <x:c r="O12" s="67" t="n">
        <x:v>18.603125</x:v>
      </x:c>
      <x:c r="P12" s="67" t="n">
        <x:v>19.461458333333333</x:v>
      </x:c>
      <x:c r="Q12" s="89" t="n">
        <x:f>P12-O12</x:f>
        <x:v>0.8583333333333343</x:v>
      </x:c>
      <x:c r="R12" s="90" t="n">
        <x:v>0</x:v>
      </x:c>
      <x:c r="S12" s="90" t="n">
        <x:v>0</x:v>
      </x:c>
      <x:c r="T12" s="91" t="n">
        <x:f>S12-R12</x:f>
        <x:v>0</x:v>
      </x:c>
      <x:c r="U12" s="90" t="n">
        <x:v>0</x:v>
      </x:c>
      <x:c r="V12" s="90" t="n">
        <x:v>0</x:v>
      </x:c>
      <x:c r="W12" s="91" t="n">
        <x:f>V12-U12</x:f>
        <x:v>0</x:v>
      </x:c>
      <x:c r="X12" s="90" t="n">
        <x:v>0</x:v>
      </x:c>
      <x:c r="Y12" s="90" t="n">
        <x:v>0</x:v>
      </x:c>
      <x:c r="Z12" s="91" t="n">
        <x:f>Y12-X12</x:f>
        <x:v>0</x:v>
      </x:c>
    </x:row>
    <x:row r="13" ht="19" customHeight="1">
      <x:c r="A13" s="36" t="n">
        <x:v>1957</x:v>
      </x:c>
      <x:c r="B13" s="88" t="n">
        <x:v>21064</x:v>
      </x:c>
      <x:c r="C13" s="88" t="n">
        <x:v>21062</x:v>
      </x:c>
      <x:c r="D13" s="36" t="n">
        <x:v>2</x:v>
      </x:c>
      <x:c r="E13" s="36" t="n">
        <x:v>2</x:v>
      </x:c>
      <x:c r="F13" s="67" t="n">
        <x:v>20.87708333333333</x:v>
      </x:c>
      <x:c r="G13" s="67" t="n">
        <x:v>20.695833333333333</x:v>
      </x:c>
      <x:c r="H13" s="89" t="n">
        <x:f>G13-F13</x:f>
        <x:v>-0.18124999999999858</x:v>
      </x:c>
      <x:c r="I13" s="67" t="n">
        <x:v>28.4</x:v>
      </x:c>
      <x:c r="J13" s="67" t="n">
        <x:v>28.1</x:v>
      </x:c>
      <x:c r="K13" s="89" t="n">
        <x:f>J13-I13</x:f>
        <x:v>-0.29999999999999716</x:v>
      </x:c>
      <x:c r="L13" s="67" t="n">
        <x:v>15.4</x:v>
      </x:c>
      <x:c r="M13" s="67" t="n">
        <x:v>15.4</x:v>
      </x:c>
      <x:c r="N13" s="89" t="n">
        <x:f>M13-L13</x:f>
        <x:v>0</x:v>
      </x:c>
      <x:c r="O13" s="67" t="n">
        <x:v>22.192708333333336</x:v>
      </x:c>
      <x:c r="P13" s="67" t="n">
        <x:v>22.133333333333333</x:v>
      </x:c>
      <x:c r="Q13" s="89" t="n">
        <x:f>P13-O13</x:f>
        <x:v>-0.05937500000000284</x:v>
      </x:c>
      <x:c r="R13" s="90" t="n">
        <x:v>0</x:v>
      </x:c>
      <x:c r="S13" s="90" t="n">
        <x:v>0</x:v>
      </x:c>
      <x:c r="T13" s="91" t="n">
        <x:f>S13-R13</x:f>
        <x:v>0</x:v>
      </x:c>
      <x:c r="U13" s="90" t="n">
        <x:v>0</x:v>
      </x:c>
      <x:c r="V13" s="90" t="n">
        <x:v>0</x:v>
      </x:c>
      <x:c r="W13" s="91" t="n">
        <x:f>V13-U13</x:f>
        <x:v>0</x:v>
      </x:c>
      <x:c r="X13" s="90" t="n">
        <x:v>0</x:v>
      </x:c>
      <x:c r="Y13" s="90" t="n">
        <x:v>0</x:v>
      </x:c>
      <x:c r="Z13" s="91" t="n">
        <x:f>Y13-X13</x:f>
        <x:v>0</x:v>
      </x:c>
    </x:row>
    <x:row r="14" ht="19" customHeight="1">
      <x:c r="A14" s="36" t="n">
        <x:v>1958</x:v>
      </x:c>
      <x:c r="B14" s="88" t="n">
        <x:v>21429</x:v>
      </x:c>
      <x:c r="C14" s="88" t="n">
        <x:v>21426</x:v>
      </x:c>
      <x:c r="D14" s="36" t="n">
        <x:v>1</x:v>
      </x:c>
      <x:c r="E14" s="36" t="n">
        <x:v>3</x:v>
      </x:c>
      <x:c r="F14" s="67" t="n">
        <x:v>23.195833333333333</x:v>
      </x:c>
      <x:c r="G14" s="67" t="n">
        <x:v>22.483333333333334</x:v>
      </x:c>
      <x:c r="H14" s="89" t="n">
        <x:f>G14-F14</x:f>
        <x:v>-0.7124999999999986</x:v>
      </x:c>
      <x:c r="I14" s="67" t="n">
        <x:v>31.7</x:v>
      </x:c>
      <x:c r="J14" s="67" t="n">
        <x:v>29.9</x:v>
      </x:c>
      <x:c r="K14" s="89" t="n">
        <x:f>J14-I14</x:f>
        <x:v>-1.8000000000000007</x:v>
      </x:c>
      <x:c r="L14" s="67" t="n">
        <x:v>16.4</x:v>
      </x:c>
      <x:c r="M14" s="67" t="n">
        <x:v>16.1</x:v>
      </x:c>
      <x:c r="N14" s="89" t="n">
        <x:f>M14-L14</x:f>
        <x:v>-0.29999999999999716</x:v>
      </x:c>
      <x:c r="O14" s="67" t="n">
        <x:v>22.873958333333334</x:v>
      </x:c>
      <x:c r="P14" s="67" t="n">
        <x:v>22.73229166666667</x:v>
      </x:c>
      <x:c r="Q14" s="89" t="n">
        <x:f>P14-O14</x:f>
        <x:v>-0.14166666666666572</x:v>
      </x:c>
      <x:c r="R14" s="90" t="n">
        <x:v>1</x:v>
      </x:c>
      <x:c r="S14" s="90" t="n">
        <x:v>0</x:v>
      </x:c>
      <x:c r="T14" s="91" t="n">
        <x:f>S14-R14</x:f>
        <x:v>-1</x:v>
      </x:c>
      <x:c r="U14" s="90" t="n">
        <x:v>0</x:v>
      </x:c>
      <x:c r="V14" s="90" t="n">
        <x:v>0</x:v>
      </x:c>
      <x:c r="W14" s="91" t="n">
        <x:f>V14-U14</x:f>
        <x:v>0</x:v>
      </x:c>
      <x:c r="X14" s="90" t="n">
        <x:v>0</x:v>
      </x:c>
      <x:c r="Y14" s="90" t="n">
        <x:v>0</x:v>
      </x:c>
      <x:c r="Z14" s="91" t="n">
        <x:f>Y14-X14</x:f>
        <x:v>0</x:v>
      </x:c>
    </x:row>
    <x:row r="15" ht="19" customHeight="1">
      <x:c r="A15" s="36" t="n">
        <x:v>1959</x:v>
      </x:c>
      <x:c r="B15" s="88" t="n">
        <x:v>21794</x:v>
      </x:c>
      <x:c r="C15" s="88" t="n">
        <x:v>21790</x:v>
      </x:c>
      <x:c r="D15" s="36" t="n">
        <x:v>0</x:v>
      </x:c>
      <x:c r="E15" s="36" t="n">
        <x:v>4</x:v>
      </x:c>
      <x:c r="F15" s="67" t="n">
        <x:v>20.584375</x:v>
      </x:c>
      <x:c r="G15" s="67" t="n">
        <x:v>23.670833333333334</x:v>
      </x:c>
      <x:c r="H15" s="89" t="n">
        <x:f>G15-F15</x:f>
        <x:v>3.086458333333333</x:v>
      </x:c>
      <x:c r="I15" s="67" t="n">
        <x:v>27.5</x:v>
      </x:c>
      <x:c r="J15" s="67" t="n">
        <x:v>31</x:v>
      </x:c>
      <x:c r="K15" s="89" t="n">
        <x:f>J15-I15</x:f>
        <x:v>3.5</x:v>
      </x:c>
      <x:c r="L15" s="67" t="n">
        <x:v>14.4</x:v>
      </x:c>
      <x:c r="M15" s="67" t="n">
        <x:v>16.8</x:v>
      </x:c>
      <x:c r="N15" s="89" t="n">
        <x:f>M15-L15</x:f>
        <x:v>2.4000000000000004</x:v>
      </x:c>
      <x:c r="O15" s="67" t="n">
        <x:v>21.404166666666665</x:v>
      </x:c>
      <x:c r="P15" s="67" t="n">
        <x:v>24.137500000000003</x:v>
      </x:c>
      <x:c r="Q15" s="89" t="n">
        <x:f>P15-O15</x:f>
        <x:v>2.733333333333338</x:v>
      </x:c>
      <x:c r="R15" s="90" t="n">
        <x:v>0</x:v>
      </x:c>
      <x:c r="S15" s="90" t="n">
        <x:v>1</x:v>
      </x:c>
      <x:c r="T15" s="91" t="n">
        <x:f>S15-R15</x:f>
        <x:v>1</x:v>
      </x:c>
      <x:c r="U15" s="90" t="n">
        <x:v>0</x:v>
      </x:c>
      <x:c r="V15" s="90" t="n">
        <x:v>0</x:v>
      </x:c>
      <x:c r="W15" s="91" t="n">
        <x:f>V15-U15</x:f>
        <x:v>0</x:v>
      </x:c>
      <x:c r="X15" s="90" t="n">
        <x:v>0</x:v>
      </x:c>
      <x:c r="Y15" s="90" t="n">
        <x:v>0</x:v>
      </x:c>
      <x:c r="Z15" s="91" t="n">
        <x:f>Y15-X15</x:f>
        <x:v>0</x:v>
      </x:c>
    </x:row>
    <x:row r="16" ht="19" customHeight="1">
      <x:c r="A16" s="36" t="n">
        <x:v>1960</x:v>
      </x:c>
      <x:c r="B16" s="88" t="n">
        <x:v>22160</x:v>
      </x:c>
      <x:c r="C16" s="88" t="n">
        <x:v>22154</x:v>
      </x:c>
      <x:c r="D16" s="36" t="n">
        <x:v>0</x:v>
      </x:c>
      <x:c r="E16" s="36" t="n">
        <x:v>6</x:v>
      </x:c>
      <x:c r="F16" s="67" t="n">
        <x:v>22.696875</x:v>
      </x:c>
      <x:c r="G16" s="67" t="n">
        <x:v>25.882291666666667</x:v>
      </x:c>
      <x:c r="H16" s="89" t="n">
        <x:f>G16-F16</x:f>
        <x:v>3.1854166666666686</x:v>
      </x:c>
      <x:c r="I16" s="67" t="n">
        <x:v>29.7</x:v>
      </x:c>
      <x:c r="J16" s="67" t="n">
        <x:v>34.5</x:v>
      </x:c>
      <x:c r="K16" s="89" t="n">
        <x:f>J16-I16</x:f>
        <x:v>4.800000000000001</x:v>
      </x:c>
      <x:c r="L16" s="67" t="n">
        <x:v>16.6</x:v>
      </x:c>
      <x:c r="M16" s="67" t="n">
        <x:v>19.8</x:v>
      </x:c>
      <x:c r="N16" s="89" t="n">
        <x:f>M16-L16</x:f>
        <x:v>3.1999999999999993</x:v>
      </x:c>
      <x:c r="O16" s="67" t="n">
        <x:v>24.31041666666667</x:v>
      </x:c>
      <x:c r="P16" s="67" t="n">
        <x:v>26.5</x:v>
      </x:c>
      <x:c r="Q16" s="89" t="n">
        <x:f>P16-O16</x:f>
        <x:v>2.1895833333333314</x:v>
      </x:c>
      <x:c r="R16" s="90" t="n">
        <x:v>0</x:v>
      </x:c>
      <x:c r="S16" s="90" t="n">
        <x:v>1</x:v>
      </x:c>
      <x:c r="T16" s="91" t="n">
        <x:f>S16-R16</x:f>
        <x:v>1</x:v>
      </x:c>
      <x:c r="U16" s="90" t="n">
        <x:v>0</x:v>
      </x:c>
      <x:c r="V16" s="90" t="n">
        <x:v>1</x:v>
      </x:c>
      <x:c r="W16" s="91" t="n">
        <x:f>V16-U16</x:f>
        <x:v>1</x:v>
      </x:c>
      <x:c r="X16" s="90" t="n">
        <x:v>0</x:v>
      </x:c>
      <x:c r="Y16" s="90" t="n">
        <x:v>0</x:v>
      </x:c>
      <x:c r="Z16" s="91" t="n">
        <x:f>Y16-X16</x:f>
        <x:v>0</x:v>
      </x:c>
    </x:row>
    <x:row r="17" ht="19" customHeight="1">
      <x:c r="A17" s="36" t="n">
        <x:v>1961</x:v>
      </x:c>
      <x:c r="B17" s="88" t="n">
        <x:v>22525</x:v>
      </x:c>
      <x:c r="C17" s="88" t="n">
        <x:v>22518</x:v>
      </x:c>
      <x:c r="D17" s="36" t="n">
        <x:v>0</x:v>
      </x:c>
      <x:c r="E17" s="36" t="n">
        <x:v>7</x:v>
      </x:c>
      <x:c r="F17" s="67" t="n">
        <x:v>21.134375</x:v>
      </x:c>
      <x:c r="G17" s="67" t="n">
        <x:v>22.76875</x:v>
      </x:c>
      <x:c r="H17" s="89" t="n">
        <x:f>G17-F17</x:f>
        <x:v>1.6343750000000021</x:v>
      </x:c>
      <x:c r="I17" s="67" t="n">
        <x:v>29</x:v>
      </x:c>
      <x:c r="J17" s="67" t="n">
        <x:v>29.8</x:v>
      </x:c>
      <x:c r="K17" s="89" t="n">
        <x:f>J17-I17</x:f>
        <x:v>0.8000000000000007</x:v>
      </x:c>
      <x:c r="L17" s="67" t="n">
        <x:v>14.5</x:v>
      </x:c>
      <x:c r="M17" s="67" t="n">
        <x:v>15.3</x:v>
      </x:c>
      <x:c r="N17" s="89" t="n">
        <x:f>M17-L17</x:f>
        <x:v>0.8000000000000007</x:v>
      </x:c>
      <x:c r="O17" s="67" t="n">
        <x:v>21.710416666666667</x:v>
      </x:c>
      <x:c r="P17" s="67" t="n">
        <x:v>23.620833333333334</x:v>
      </x:c>
      <x:c r="Q17" s="89" t="n">
        <x:f>P17-O17</x:f>
        <x:v>1.9104166666666664</x:v>
      </x:c>
      <x:c r="R17" s="90" t="n">
        <x:v>0</x:v>
      </x:c>
      <x:c r="S17" s="90" t="n">
        <x:v>0</x:v>
      </x:c>
      <x:c r="T17" s="91" t="n">
        <x:f>S17-R17</x:f>
        <x:v>0</x:v>
      </x:c>
      <x:c r="U17" s="90" t="n">
        <x:v>0</x:v>
      </x:c>
      <x:c r="V17" s="90" t="n">
        <x:v>0</x:v>
      </x:c>
      <x:c r="W17" s="91" t="n">
        <x:f>V17-U17</x:f>
        <x:v>0</x:v>
      </x:c>
      <x:c r="X17" s="90" t="n">
        <x:v>0</x:v>
      </x:c>
      <x:c r="Y17" s="90" t="n">
        <x:v>0</x:v>
      </x:c>
      <x:c r="Z17" s="91" t="n">
        <x:f>Y17-X17</x:f>
        <x:v>0</x:v>
      </x:c>
    </x:row>
    <x:row r="18" ht="19" customHeight="1">
      <x:c r="A18" s="36" t="n">
        <x:v>1962</x:v>
      </x:c>
      <x:c r="B18" s="88" t="n">
        <x:v>22890</x:v>
      </x:c>
      <x:c r="C18" s="88" t="n">
        <x:v>22889</x:v>
      </x:c>
      <x:c r="D18" s="36" t="n">
        <x:v>3</x:v>
      </x:c>
      <x:c r="E18" s="36" t="n">
        <x:v>1</x:v>
      </x:c>
      <x:c r="F18" s="67" t="n">
        <x:v>24.1375</x:v>
      </x:c>
      <x:c r="G18" s="67" t="n">
        <x:v>24.211458333333333</x:v>
      </x:c>
      <x:c r="H18" s="89" t="n">
        <x:f>G18-F18</x:f>
        <x:v>0.07395833333333357</x:v>
      </x:c>
      <x:c r="I18" s="67" t="n">
        <x:v>33.8</x:v>
      </x:c>
      <x:c r="J18" s="67" t="n">
        <x:v>32.7</x:v>
      </x:c>
      <x:c r="K18" s="89" t="n">
        <x:f>J18-I18</x:f>
        <x:v>-1.0999999999999943</x:v>
      </x:c>
      <x:c r="L18" s="67" t="n">
        <x:v>16.8</x:v>
      </x:c>
      <x:c r="M18" s="67" t="n">
        <x:v>16.8</x:v>
      </x:c>
      <x:c r="N18" s="89" t="n">
        <x:f>M18-L18</x:f>
        <x:v>0</x:v>
      </x:c>
      <x:c r="O18" s="67" t="n">
        <x:v>24.642708333333335</x:v>
      </x:c>
      <x:c r="P18" s="67" t="n">
        <x:v>24.68541666666667</x:v>
      </x:c>
      <x:c r="Q18" s="89" t="n">
        <x:f>P18-O18</x:f>
        <x:v>0.04270833333333357</x:v>
      </x:c>
      <x:c r="R18" s="90" t="n">
        <x:v>1</x:v>
      </x:c>
      <x:c r="S18" s="90" t="n">
        <x:v>1</x:v>
      </x:c>
      <x:c r="T18" s="91" t="n">
        <x:f>S18-R18</x:f>
        <x:v>0</x:v>
      </x:c>
      <x:c r="U18" s="90" t="n">
        <x:v>1</x:v>
      </x:c>
      <x:c r="V18" s="90" t="n">
        <x:v>1</x:v>
      </x:c>
      <x:c r="W18" s="91" t="n">
        <x:f>V18-U18</x:f>
        <x:v>0</x:v>
      </x:c>
      <x:c r="X18" s="90" t="n">
        <x:v>0</x:v>
      </x:c>
      <x:c r="Y18" s="90" t="n">
        <x:v>0</x:v>
      </x:c>
      <x:c r="Z18" s="91" t="n">
        <x:f>Y18-X18</x:f>
        <x:v>0</x:v>
      </x:c>
    </x:row>
    <x:row r="19" ht="19" customHeight="1">
      <x:c r="A19" s="36" t="n">
        <x:v>1963</x:v>
      </x:c>
      <x:c r="B19" s="88" t="n">
        <x:v>23255</x:v>
      </x:c>
      <x:c r="C19" s="88" t="n">
        <x:v>23253</x:v>
      </x:c>
      <x:c r="D19" s="36" t="n">
        <x:v>2</x:v>
      </x:c>
      <x:c r="E19" s="36" t="n">
        <x:v>2</x:v>
      </x:c>
      <x:c r="F19" s="67" t="n">
        <x:v>19.248958333333334</x:v>
      </x:c>
      <x:c r="G19" s="67" t="n">
        <x:v>21.46875</x:v>
      </x:c>
      <x:c r="H19" s="89" t="n">
        <x:f>G19-F19</x:f>
        <x:v>2.2197916666666657</x:v>
      </x:c>
      <x:c r="I19" s="67" t="n">
        <x:v>29</x:v>
      </x:c>
      <x:c r="J19" s="67" t="n">
        <x:v>29.8</x:v>
      </x:c>
      <x:c r="K19" s="89" t="n">
        <x:f>J19-I19</x:f>
        <x:v>0.8000000000000007</x:v>
      </x:c>
      <x:c r="L19" s="67" t="n">
        <x:v>12.8</x:v>
      </x:c>
      <x:c r="M19" s="67" t="n">
        <x:v>16.5</x:v>
      </x:c>
      <x:c r="N19" s="89" t="n">
        <x:f>M19-L19</x:f>
        <x:v>3.6999999999999993</x:v>
      </x:c>
      <x:c r="O19" s="67" t="n">
        <x:v>19.535416666666666</x:v>
      </x:c>
      <x:c r="P19" s="67" t="n">
        <x:v>21.511458333333334</x:v>
      </x:c>
      <x:c r="Q19" s="89" t="n">
        <x:f>P19-O19</x:f>
        <x:v>1.9760416666666671</x:v>
      </x:c>
      <x:c r="R19" s="90" t="n">
        <x:v>0</x:v>
      </x:c>
      <x:c r="S19" s="90" t="n">
        <x:v>0</x:v>
      </x:c>
      <x:c r="T19" s="91" t="n">
        <x:f>S19-R19</x:f>
        <x:v>0</x:v>
      </x:c>
      <x:c r="U19" s="90" t="n">
        <x:v>0</x:v>
      </x:c>
      <x:c r="V19" s="90" t="n">
        <x:v>0</x:v>
      </x:c>
      <x:c r="W19" s="91" t="n">
        <x:f>V19-U19</x:f>
        <x:v>0</x:v>
      </x:c>
      <x:c r="X19" s="90" t="n">
        <x:v>0</x:v>
      </x:c>
      <x:c r="Y19" s="90" t="n">
        <x:v>0</x:v>
      </x:c>
      <x:c r="Z19" s="91" t="n">
        <x:f>Y19-X19</x:f>
        <x:v>0</x:v>
      </x:c>
    </x:row>
    <x:row r="20" ht="19" customHeight="1">
      <x:c r="A20" s="36" t="n">
        <x:v>1964</x:v>
      </x:c>
      <x:c r="B20" s="88" t="n">
        <x:v>23621</x:v>
      </x:c>
      <x:c r="C20" s="88" t="n">
        <x:v>23617</x:v>
      </x:c>
      <x:c r="D20" s="36" t="n">
        <x:v>0</x:v>
      </x:c>
      <x:c r="E20" s="36" t="n">
        <x:v>4</x:v>
      </x:c>
      <x:c r="F20" s="67" t="n">
        <x:v>24.657291666666666</x:v>
      </x:c>
      <x:c r="G20" s="67" t="n">
        <x:v>22.834375</x:v>
      </x:c>
      <x:c r="H20" s="89" t="n">
        <x:f>G20-F20</x:f>
        <x:v>-1.8229166666666643</x:v>
      </x:c>
      <x:c r="I20" s="67" t="n">
        <x:v>33.8</x:v>
      </x:c>
      <x:c r="J20" s="67" t="n">
        <x:v>29.4</x:v>
      </x:c>
      <x:c r="K20" s="89" t="n">
        <x:f>J20-I20</x:f>
        <x:v>-4.399999999999999</x:v>
      </x:c>
      <x:c r="L20" s="67" t="n">
        <x:v>16.6</x:v>
      </x:c>
      <x:c r="M20" s="67" t="n">
        <x:v>17.6</x:v>
      </x:c>
      <x:c r="N20" s="89" t="n">
        <x:f>M20-L20</x:f>
        <x:v>1</x:v>
      </x:c>
      <x:c r="O20" s="67" t="n">
        <x:v>25.292708333333337</x:v>
      </x:c>
      <x:c r="P20" s="67" t="n">
        <x:v>23.99375</x:v>
      </x:c>
      <x:c r="Q20" s="89" t="n">
        <x:f>P20-O20</x:f>
        <x:v>-1.2989583333333385</x:v>
      </x:c>
      <x:c r="R20" s="90" t="n">
        <x:v>1</x:v>
      </x:c>
      <x:c r="S20" s="90" t="n">
        <x:v>0</x:v>
      </x:c>
      <x:c r="T20" s="91" t="n">
        <x:f>S20-R20</x:f>
        <x:v>-1</x:v>
      </x:c>
      <x:c r="U20" s="90" t="n">
        <x:v>1</x:v>
      </x:c>
      <x:c r="V20" s="90" t="n">
        <x:v>0</x:v>
      </x:c>
      <x:c r="W20" s="91" t="n">
        <x:f>V20-U20</x:f>
        <x:v>-1</x:v>
      </x:c>
      <x:c r="X20" s="90" t="n">
        <x:v>0</x:v>
      </x:c>
      <x:c r="Y20" s="90" t="n">
        <x:v>0</x:v>
      </x:c>
      <x:c r="Z20" s="91" t="n">
        <x:f>Y20-X20</x:f>
        <x:v>0</x:v>
      </x:c>
    </x:row>
    <x:row r="21" ht="19" customHeight="1">
      <x:c r="A21" s="36" t="n">
        <x:v>1965</x:v>
      </x:c>
      <x:c r="B21" s="88" t="n">
        <x:v>23986</x:v>
      </x:c>
      <x:c r="C21" s="88" t="n">
        <x:v>23981</x:v>
      </x:c>
      <x:c r="D21" s="36" t="n">
        <x:v>0</x:v>
      </x:c>
      <x:c r="E21" s="36" t="n">
        <x:v>5</x:v>
      </x:c>
      <x:c r="F21" s="67" t="n">
        <x:v>17.088541666666668</x:v>
      </x:c>
      <x:c r="G21" s="67" t="n">
        <x:v>23.028125000000003</x:v>
      </x:c>
      <x:c r="H21" s="89" t="n">
        <x:f>G21-F21</x:f>
        <x:v>5.939583333333335</x:v>
      </x:c>
      <x:c r="I21" s="67" t="n">
        <x:v>26.2</x:v>
      </x:c>
      <x:c r="J21" s="67" t="n">
        <x:v>31.7</x:v>
      </x:c>
      <x:c r="K21" s="89" t="n">
        <x:f>J21-I21</x:f>
        <x:v>5.5</x:v>
      </x:c>
      <x:c r="L21" s="67" t="n">
        <x:v>9</x:v>
      </x:c>
      <x:c r="M21" s="67" t="n">
        <x:v>16.8</x:v>
      </x:c>
      <x:c r="N21" s="89" t="n">
        <x:f>M21-L21</x:f>
        <x:v>7.800000000000001</x:v>
      </x:c>
      <x:c r="O21" s="67" t="n">
        <x:v>15.586458333333333</x:v>
      </x:c>
      <x:c r="P21" s="67" t="n">
        <x:v>23.426041666666666</x:v>
      </x:c>
      <x:c r="Q21" s="89" t="n">
        <x:f>P21-O21</x:f>
        <x:v>7.839583333333334</x:v>
      </x:c>
      <x:c r="R21" s="90" t="n">
        <x:v>0</x:v>
      </x:c>
      <x:c r="S21" s="90" t="n">
        <x:v>1</x:v>
      </x:c>
      <x:c r="T21" s="91" t="n">
        <x:f>S21-R21</x:f>
        <x:v>1</x:v>
      </x:c>
      <x:c r="U21" s="90" t="n">
        <x:v>0</x:v>
      </x:c>
      <x:c r="V21" s="90" t="n">
        <x:v>0</x:v>
      </x:c>
      <x:c r="W21" s="91" t="n">
        <x:f>V21-U21</x:f>
        <x:v>0</x:v>
      </x:c>
      <x:c r="X21" s="90" t="n">
        <x:v>0</x:v>
      </x:c>
      <x:c r="Y21" s="90" t="n">
        <x:v>0</x:v>
      </x:c>
      <x:c r="Z21" s="91" t="n">
        <x:f>Y21-X21</x:f>
        <x:v>0</x:v>
      </x:c>
    </x:row>
    <x:row r="22" ht="19" customHeight="1">
      <x:c r="A22" s="36" t="n">
        <x:v>1966</x:v>
      </x:c>
      <x:c r="B22" s="88" t="n">
        <x:v>24351</x:v>
      </x:c>
      <x:c r="C22" s="88" t="n">
        <x:v>24345</x:v>
      </x:c>
      <x:c r="D22" s="36" t="n">
        <x:v>0</x:v>
      </x:c>
      <x:c r="E22" s="36" t="n">
        <x:v>6</x:v>
      </x:c>
      <x:c r="F22" s="67" t="n">
        <x:v>22.307291666666668</x:v>
      </x:c>
      <x:c r="G22" s="67" t="n">
        <x:v>23.890625</x:v>
      </x:c>
      <x:c r="H22" s="89" t="n">
        <x:f>G22-F22</x:f>
        <x:v>1.5833333333333321</x:v>
      </x:c>
      <x:c r="I22" s="67" t="n">
        <x:v>31.4</x:v>
      </x:c>
      <x:c r="J22" s="67" t="n">
        <x:v>32.1</x:v>
      </x:c>
      <x:c r="K22" s="89" t="n">
        <x:f>J22-I22</x:f>
        <x:v>0.7000000000000028</x:v>
      </x:c>
      <x:c r="L22" s="67" t="n">
        <x:v>16.4</x:v>
      </x:c>
      <x:c r="M22" s="67" t="n">
        <x:v>16.4</x:v>
      </x:c>
      <x:c r="N22" s="89" t="n">
        <x:f>M22-L22</x:f>
        <x:v>0</x:v>
      </x:c>
      <x:c r="O22" s="67" t="n">
        <x:v>22.842708333333334</x:v>
      </x:c>
      <x:c r="P22" s="67" t="n">
        <x:v>23.032291666666666</x:v>
      </x:c>
      <x:c r="Q22" s="89" t="n">
        <x:f>P22-O22</x:f>
        <x:v>0.18958333333333144</x:v>
      </x:c>
      <x:c r="R22" s="90" t="n">
        <x:v>1</x:v>
      </x:c>
      <x:c r="S22" s="90" t="n">
        <x:v>1</x:v>
      </x:c>
      <x:c r="T22" s="91" t="n">
        <x:f>S22-R22</x:f>
        <x:v>0</x:v>
      </x:c>
      <x:c r="U22" s="90" t="n">
        <x:v>0</x:v>
      </x:c>
      <x:c r="V22" s="90" t="n">
        <x:v>1</x:v>
      </x:c>
      <x:c r="W22" s="91" t="n">
        <x:f>V22-U22</x:f>
        <x:v>1</x:v>
      </x:c>
      <x:c r="X22" s="90" t="n">
        <x:v>0</x:v>
      </x:c>
      <x:c r="Y22" s="90" t="n">
        <x:v>0</x:v>
      </x:c>
      <x:c r="Z22" s="91" t="n">
        <x:f>Y22-X22</x:f>
        <x:v>0</x:v>
      </x:c>
    </x:row>
    <x:row r="23" ht="19" customHeight="1">
      <x:c r="A23" s="36" t="n">
        <x:v>1967</x:v>
      </x:c>
      <x:c r="B23" s="88" t="n">
        <x:v>24716</x:v>
      </x:c>
      <x:c r="C23" s="88" t="n">
        <x:v>24709</x:v>
      </x:c>
      <x:c r="D23" s="36" t="n">
        <x:v>0</x:v>
      </x:c>
      <x:c r="E23" s="36" t="n">
        <x:v>7</x:v>
      </x:c>
      <x:c r="F23" s="67" t="n">
        <x:v>22.98229166666667</x:v>
      </x:c>
      <x:c r="G23" s="67" t="n">
        <x:v>21.192708333333336</x:v>
      </x:c>
      <x:c r="H23" s="89" t="n">
        <x:f>G23-F23</x:f>
        <x:v>-1.7895833333333329</x:v>
      </x:c>
      <x:c r="I23" s="67" t="n">
        <x:v>30.5</x:v>
      </x:c>
      <x:c r="J23" s="67" t="n">
        <x:v>28.1</x:v>
      </x:c>
      <x:c r="K23" s="89" t="n">
        <x:f>J23-I23</x:f>
        <x:v>-2.3999999999999986</x:v>
      </x:c>
      <x:c r="L23" s="67" t="n">
        <x:v>16.6</x:v>
      </x:c>
      <x:c r="M23" s="67" t="n">
        <x:v>16.2</x:v>
      </x:c>
      <x:c r="N23" s="89" t="n">
        <x:f>M23-L23</x:f>
        <x:v>-0.40000000000000213</x:v>
      </x:c>
      <x:c r="O23" s="67" t="n">
        <x:v>22.598958333333336</x:v>
      </x:c>
      <x:c r="P23" s="67" t="n">
        <x:v>22.55</x:v>
      </x:c>
      <x:c r="Q23" s="89" t="n">
        <x:f>P23-O23</x:f>
        <x:v>-0.04895833333333499</x:v>
      </x:c>
      <x:c r="R23" s="90" t="n">
        <x:v>1</x:v>
      </x:c>
      <x:c r="S23" s="90" t="n">
        <x:v>0</x:v>
      </x:c>
      <x:c r="T23" s="91" t="n">
        <x:f>S23-R23</x:f>
        <x:v>-1</x:v>
      </x:c>
      <x:c r="U23" s="90" t="n">
        <x:v>0</x:v>
      </x:c>
      <x:c r="V23" s="90" t="n">
        <x:v>0</x:v>
      </x:c>
      <x:c r="W23" s="91" t="n">
        <x:f>V23-U23</x:f>
        <x:v>0</x:v>
      </x:c>
      <x:c r="X23" s="90" t="n">
        <x:v>0</x:v>
      </x:c>
      <x:c r="Y23" s="90" t="n">
        <x:v>0</x:v>
      </x:c>
      <x:c r="Z23" s="91" t="n">
        <x:f>Y23-X23</x:f>
        <x:v>0</x:v>
      </x:c>
    </x:row>
    <x:row r="24" ht="19" customHeight="1">
      <x:c r="A24" s="36" t="n">
        <x:v>1968</x:v>
      </x:c>
      <x:c r="B24" s="88" t="n">
        <x:v>25082</x:v>
      </x:c>
      <x:c r="C24" s="88" t="n">
        <x:v>25080</x:v>
      </x:c>
      <x:c r="D24" s="36" t="n">
        <x:v>2</x:v>
      </x:c>
      <x:c r="E24" s="36" t="n">
        <x:v>2</x:v>
      </x:c>
      <x:c r="F24" s="67" t="n">
        <x:v>21.636458333333334</x:v>
      </x:c>
      <x:c r="G24" s="67" t="n">
        <x:v>21.945833333333333</x:v>
      </x:c>
      <x:c r="H24" s="89" t="n">
        <x:f>G24-F24</x:f>
        <x:v>0.3093749999999993</x:v>
      </x:c>
      <x:c r="I24" s="67" t="n">
        <x:v>28.9</x:v>
      </x:c>
      <x:c r="J24" s="67" t="n">
        <x:v>28.9</x:v>
      </x:c>
      <x:c r="K24" s="89" t="n">
        <x:f>J24-I24</x:f>
        <x:v>0</x:v>
      </x:c>
      <x:c r="L24" s="67" t="n">
        <x:v>15</x:v>
      </x:c>
      <x:c r="M24" s="67" t="n">
        <x:v>15</x:v>
      </x:c>
      <x:c r="N24" s="89" t="n">
        <x:f>M24-L24</x:f>
        <x:v>0</x:v>
      </x:c>
      <x:c r="O24" s="67" t="n">
        <x:v>20.24375</x:v>
      </x:c>
      <x:c r="P24" s="67" t="n">
        <x:v>20.770833333333332</x:v>
      </x:c>
      <x:c r="Q24" s="89" t="n">
        <x:f>P24-O24</x:f>
        <x:v>0.5270833333333336</x:v>
      </x:c>
      <x:c r="R24" s="90" t="n">
        <x:v>0</x:v>
      </x:c>
      <x:c r="S24" s="90" t="n">
        <x:v>0</x:v>
      </x:c>
      <x:c r="T24" s="91" t="n">
        <x:f>S24-R24</x:f>
        <x:v>0</x:v>
      </x:c>
      <x:c r="U24" s="90" t="n">
        <x:v>0</x:v>
      </x:c>
      <x:c r="V24" s="90" t="n">
        <x:v>0</x:v>
      </x:c>
      <x:c r="W24" s="91" t="n">
        <x:f>V24-U24</x:f>
        <x:v>0</x:v>
      </x:c>
      <x:c r="X24" s="90" t="n">
        <x:v>0</x:v>
      </x:c>
      <x:c r="Y24" s="90" t="n">
        <x:v>0</x:v>
      </x:c>
      <x:c r="Z24" s="91" t="n">
        <x:f>Y24-X24</x:f>
        <x:v>0</x:v>
      </x:c>
    </x:row>
    <x:row r="25" ht="19" customHeight="1">
      <x:c r="A25" s="36" t="n">
        <x:v>1969</x:v>
      </x:c>
      <x:c r="B25" s="88" t="n">
        <x:v>25447</x:v>
      </x:c>
      <x:c r="C25" s="88" t="n">
        <x:v>25444</x:v>
      </x:c>
      <x:c r="D25" s="36" t="n">
        <x:v>1</x:v>
      </x:c>
      <x:c r="E25" s="36" t="n">
        <x:v>3</x:v>
      </x:c>
      <x:c r="F25" s="67" t="n">
        <x:v>19.30625</x:v>
      </x:c>
      <x:c r="G25" s="67" t="n">
        <x:v>18.110416666666666</x:v>
      </x:c>
      <x:c r="H25" s="89" t="n">
        <x:f>G25-F25</x:f>
        <x:v>-1.1958333333333329</x:v>
      </x:c>
      <x:c r="I25" s="67" t="n">
        <x:v>25.3</x:v>
      </x:c>
      <x:c r="J25" s="67" t="n">
        <x:v>27.4</x:v>
      </x:c>
      <x:c r="K25" s="89" t="n">
        <x:f>J25-I25</x:f>
        <x:v>2.099999999999998</x:v>
      </x:c>
      <x:c r="L25" s="67" t="n">
        <x:v>14.2</x:v>
      </x:c>
      <x:c r="M25" s="67" t="n">
        <x:v>14.7</x:v>
      </x:c>
      <x:c r="N25" s="89" t="n">
        <x:f>M25-L25</x:f>
        <x:v>0.5</x:v>
      </x:c>
      <x:c r="O25" s="67" t="n">
        <x:v>19.6625</x:v>
      </x:c>
      <x:c r="P25" s="67" t="n">
        <x:v>18.22083333333333</x:v>
      </x:c>
      <x:c r="Q25" s="89" t="n">
        <x:f>P25-O25</x:f>
        <x:v>-1.44166666666667</x:v>
      </x:c>
      <x:c r="R25" s="90" t="n">
        <x:v>0</x:v>
      </x:c>
      <x:c r="S25" s="90" t="n">
        <x:v>0</x:v>
      </x:c>
      <x:c r="T25" s="91" t="n">
        <x:f>S25-R25</x:f>
        <x:v>0</x:v>
      </x:c>
      <x:c r="U25" s="90" t="n">
        <x:v>0</x:v>
      </x:c>
      <x:c r="V25" s="90" t="n">
        <x:v>0</x:v>
      </x:c>
      <x:c r="W25" s="91" t="n">
        <x:f>V25-U25</x:f>
        <x:v>0</x:v>
      </x:c>
      <x:c r="X25" s="90" t="n">
        <x:v>0</x:v>
      </x:c>
      <x:c r="Y25" s="90" t="n">
        <x:v>0</x:v>
      </x:c>
      <x:c r="Z25" s="91" t="n">
        <x:f>Y25-X25</x:f>
        <x:v>0</x:v>
      </x:c>
    </x:row>
    <x:row r="26" ht="19" customHeight="1">
      <x:c r="A26" s="36" t="n">
        <x:v>1970</x:v>
      </x:c>
      <x:c r="B26" s="88" t="n">
        <x:v>25812</x:v>
      </x:c>
      <x:c r="C26" s="88" t="n">
        <x:v>25808</x:v>
      </x:c>
      <x:c r="D26" s="36" t="n">
        <x:v>0</x:v>
      </x:c>
      <x:c r="E26" s="36" t="n">
        <x:v>4</x:v>
      </x:c>
      <x:c r="F26" s="67" t="n">
        <x:v>22.886458333333334</x:v>
      </x:c>
      <x:c r="G26" s="67" t="n">
        <x:v>22.566666666666666</x:v>
      </x:c>
      <x:c r="H26" s="89" t="n">
        <x:f>G26-F26</x:f>
        <x:v>-0.31979166666666714</x:v>
      </x:c>
      <x:c r="I26" s="67" t="n">
        <x:v>31</x:v>
      </x:c>
      <x:c r="J26" s="67" t="n">
        <x:v>29.2</x:v>
      </x:c>
      <x:c r="K26" s="89" t="n">
        <x:f>J26-I26</x:f>
        <x:v>-1.8000000000000007</x:v>
      </x:c>
      <x:c r="L26" s="67" t="n">
        <x:v>17.2</x:v>
      </x:c>
      <x:c r="M26" s="67" t="n">
        <x:v>18</x:v>
      </x:c>
      <x:c r="N26" s="89" t="n">
        <x:f>M26-L26</x:f>
        <x:v>0.8000000000000007</x:v>
      </x:c>
      <x:c r="O26" s="67" t="n">
        <x:v>24.155208333333334</x:v>
      </x:c>
      <x:c r="P26" s="67" t="n">
        <x:v>23.792708333333334</x:v>
      </x:c>
      <x:c r="Q26" s="89" t="n">
        <x:f>P26-O26</x:f>
        <x:v>-0.3625000000000007</x:v>
      </x:c>
      <x:c r="R26" s="90" t="n">
        <x:v>1</x:v>
      </x:c>
      <x:c r="S26" s="90" t="n">
        <x:v>0</x:v>
      </x:c>
      <x:c r="T26" s="91" t="n">
        <x:f>S26-R26</x:f>
        <x:v>-1</x:v>
      </x:c>
      <x:c r="U26" s="90" t="n">
        <x:v>0</x:v>
      </x:c>
      <x:c r="V26" s="90" t="n">
        <x:v>0</x:v>
      </x:c>
      <x:c r="W26" s="91" t="n">
        <x:f>V26-U26</x:f>
        <x:v>0</x:v>
      </x:c>
      <x:c r="X26" s="90" t="n">
        <x:v>0</x:v>
      </x:c>
      <x:c r="Y26" s="90" t="n">
        <x:v>0</x:v>
      </x:c>
      <x:c r="Z26" s="91" t="n">
        <x:f>Y26-X26</x:f>
        <x:v>0</x:v>
      </x:c>
    </x:row>
    <x:row r="27" ht="19" customHeight="1">
      <x:c r="A27" s="36" t="n">
        <x:v>1971</x:v>
      </x:c>
      <x:c r="B27" s="88" t="n">
        <x:v>26177</x:v>
      </x:c>
      <x:c r="C27" s="88" t="n">
        <x:v>26172</x:v>
      </x:c>
      <x:c r="D27" s="36" t="n">
        <x:v>0</x:v>
      </x:c>
      <x:c r="E27" s="36" t="n">
        <x:v>5</x:v>
      </x:c>
      <x:c r="F27" s="67" t="n">
        <x:v>21.896875</x:v>
      </x:c>
      <x:c r="G27" s="67" t="n">
        <x:v>24.18958333333333</x:v>
      </x:c>
      <x:c r="H27" s="89" t="n">
        <x:f>G27-F27</x:f>
        <x:v>2.29270833333333</x:v>
      </x:c>
      <x:c r="I27" s="67" t="n">
        <x:v>28</x:v>
      </x:c>
      <x:c r="J27" s="67" t="n">
        <x:v>30.8</x:v>
      </x:c>
      <x:c r="K27" s="89" t="n">
        <x:f>J27-I27</x:f>
        <x:v>2.8000000000000007</x:v>
      </x:c>
      <x:c r="L27" s="67" t="n">
        <x:v>15.2</x:v>
      </x:c>
      <x:c r="M27" s="67" t="n">
        <x:v>18.1</x:v>
      </x:c>
      <x:c r="N27" s="89" t="n">
        <x:f>M27-L27</x:f>
        <x:v>2.900000000000002</x:v>
      </x:c>
      <x:c r="O27" s="67" t="n">
        <x:v>23.348958333333336</x:v>
      </x:c>
      <x:c r="P27" s="67" t="n">
        <x:v>24.1875</x:v>
      </x:c>
      <x:c r="Q27" s="89" t="n">
        <x:f>P27-O27</x:f>
        <x:v>0.8385416666666643</x:v>
      </x:c>
      <x:c r="R27" s="90" t="n">
        <x:v>0</x:v>
      </x:c>
      <x:c r="S27" s="90" t="n">
        <x:v>1</x:v>
      </x:c>
      <x:c r="T27" s="91" t="n">
        <x:f>S27-R27</x:f>
        <x:v>1</x:v>
      </x:c>
      <x:c r="U27" s="90" t="n">
        <x:v>0</x:v>
      </x:c>
      <x:c r="V27" s="90" t="n">
        <x:v>0</x:v>
      </x:c>
      <x:c r="W27" s="91" t="n">
        <x:f>V27-U27</x:f>
        <x:v>0</x:v>
      </x:c>
      <x:c r="X27" s="90" t="n">
        <x:v>0</x:v>
      </x:c>
      <x:c r="Y27" s="90" t="n">
        <x:v>0</x:v>
      </x:c>
      <x:c r="Z27" s="91" t="n">
        <x:f>Y27-X27</x:f>
        <x:v>0</x:v>
      </x:c>
    </x:row>
    <x:row r="28" ht="19" customHeight="1">
      <x:c r="A28" s="36" t="n">
        <x:v>1972</x:v>
      </x:c>
      <x:c r="B28" s="88" t="n">
        <x:v>26543</x:v>
      </x:c>
      <x:c r="C28" s="88" t="n">
        <x:v>26536</x:v>
      </x:c>
      <x:c r="D28" s="36" t="n">
        <x:v>0</x:v>
      </x:c>
      <x:c r="E28" s="36" t="n">
        <x:v>7</x:v>
      </x:c>
      <x:c r="F28" s="67" t="n">
        <x:v>17.679166666666667</x:v>
      </x:c>
      <x:c r="G28" s="67" t="n">
        <x:v>22.228125</x:v>
      </x:c>
      <x:c r="H28" s="89" t="n">
        <x:f>G28-F28</x:f>
        <x:v>4.548958333333331</x:v>
      </x:c>
      <x:c r="I28" s="67" t="n">
        <x:v>22.7</x:v>
      </x:c>
      <x:c r="J28" s="67" t="n">
        <x:v>29.6</x:v>
      </x:c>
      <x:c r="K28" s="89" t="n">
        <x:f>J28-I28</x:f>
        <x:v>6.900000000000002</x:v>
      </x:c>
      <x:c r="L28" s="67" t="n">
        <x:v>12.4</x:v>
      </x:c>
      <x:c r="M28" s="67" t="n">
        <x:v>15.9</x:v>
      </x:c>
      <x:c r="N28" s="89" t="n">
        <x:f>M28-L28</x:f>
        <x:v>3.5</x:v>
      </x:c>
      <x:c r="O28" s="67" t="n">
        <x:v>18.21666666666667</x:v>
      </x:c>
      <x:c r="P28" s="67" t="n">
        <x:v>22.49791666666667</x:v>
      </x:c>
      <x:c r="Q28" s="89" t="n">
        <x:f>P28-O28</x:f>
        <x:v>4.28125</x:v>
      </x:c>
      <x:c r="R28" s="90" t="n">
        <x:v>0</x:v>
      </x:c>
      <x:c r="S28" s="90" t="n">
        <x:v>0</x:v>
      </x:c>
      <x:c r="T28" s="91" t="n">
        <x:f>S28-R28</x:f>
        <x:v>0</x:v>
      </x:c>
      <x:c r="U28" s="90" t="n">
        <x:v>0</x:v>
      </x:c>
      <x:c r="V28" s="90" t="n">
        <x:v>0</x:v>
      </x:c>
      <x:c r="W28" s="91" t="n">
        <x:f>V28-U28</x:f>
        <x:v>0</x:v>
      </x:c>
      <x:c r="X28" s="90" t="n">
        <x:v>0</x:v>
      </x:c>
      <x:c r="Y28" s="90" t="n">
        <x:v>0</x:v>
      </x:c>
      <x:c r="Z28" s="91" t="n">
        <x:f>Y28-X28</x:f>
        <x:v>0</x:v>
      </x:c>
    </x:row>
    <x:row r="29" ht="19" customHeight="1">
      <x:c r="A29" s="36" t="n">
        <x:v>1973</x:v>
      </x:c>
      <x:c r="B29" s="88" t="n">
        <x:v>26908</x:v>
      </x:c>
      <x:c r="C29" s="88" t="n">
        <x:v>26907</x:v>
      </x:c>
      <x:c r="D29" s="36" t="n">
        <x:v>3</x:v>
      </x:c>
      <x:c r="E29" s="36" t="n">
        <x:v>1</x:v>
      </x:c>
      <x:c r="F29" s="67" t="n">
        <x:v>20.540625</x:v>
      </x:c>
      <x:c r="G29" s="67" t="n">
        <x:v>20.463541666666668</x:v>
      </x:c>
      <x:c r="H29" s="89" t="n">
        <x:f>G29-F29</x:f>
        <x:v>-0.07708333333333073</x:v>
      </x:c>
      <x:c r="I29" s="67" t="n">
        <x:v>27.7</x:v>
      </x:c>
      <x:c r="J29" s="67" t="n">
        <x:v>26.7</x:v>
      </x:c>
      <x:c r="K29" s="89" t="n">
        <x:f>J29-I29</x:f>
        <x:v>-1</x:v>
      </x:c>
      <x:c r="L29" s="67" t="n">
        <x:v>15.4</x:v>
      </x:c>
      <x:c r="M29" s="67" t="n">
        <x:v>15.1</x:v>
      </x:c>
      <x:c r="N29" s="89" t="n">
        <x:f>M29-L29</x:f>
        <x:v>-0.3000000000000007</x:v>
      </x:c>
      <x:c r="O29" s="67" t="n">
        <x:v>21.38125</x:v>
      </x:c>
      <x:c r="P29" s="67" t="n">
        <x:v>21.121875</x:v>
      </x:c>
      <x:c r="Q29" s="89" t="n">
        <x:f>P29-O29</x:f>
        <x:v>-0.25937500000000213</x:v>
      </x:c>
      <x:c r="R29" s="90" t="n">
        <x:v>0</x:v>
      </x:c>
      <x:c r="S29" s="90" t="n">
        <x:v>0</x:v>
      </x:c>
      <x:c r="T29" s="91" t="n">
        <x:f>S29-R29</x:f>
        <x:v>0</x:v>
      </x:c>
      <x:c r="U29" s="90" t="n">
        <x:v>0</x:v>
      </x:c>
      <x:c r="V29" s="90" t="n">
        <x:v>0</x:v>
      </x:c>
      <x:c r="W29" s="91" t="n">
        <x:f>V29-U29</x:f>
        <x:v>0</x:v>
      </x:c>
      <x:c r="X29" s="90" t="n">
        <x:v>0</x:v>
      </x:c>
      <x:c r="Y29" s="90" t="n">
        <x:v>0</x:v>
      </x:c>
      <x:c r="Z29" s="91" t="n">
        <x:f>Y29-X29</x:f>
        <x:v>0</x:v>
      </x:c>
    </x:row>
    <x:row r="30" ht="19" customHeight="1">
      <x:c r="A30" s="36" t="n">
        <x:v>1974</x:v>
      </x:c>
      <x:c r="B30" s="88" t="n">
        <x:v>27273</x:v>
      </x:c>
      <x:c r="C30" s="88" t="n">
        <x:v>27271</x:v>
      </x:c>
      <x:c r="D30" s="36" t="n">
        <x:v>2</x:v>
      </x:c>
      <x:c r="E30" s="36" t="n">
        <x:v>2</x:v>
      </x:c>
      <x:c r="F30" s="67" t="n">
        <x:v>21.067708333333332</x:v>
      </x:c>
      <x:c r="G30" s="67" t="n">
        <x:v>20.963541666666668</x:v>
      </x:c>
      <x:c r="H30" s="89" t="n">
        <x:f>G30-F30</x:f>
        <x:v>-0.1041666666666643</x:v>
      </x:c>
      <x:c r="I30" s="67" t="n">
        <x:v>28.7</x:v>
      </x:c>
      <x:c r="J30" s="67" t="n">
        <x:v>28.7</x:v>
      </x:c>
      <x:c r="K30" s="89" t="n">
        <x:f>J30-I30</x:f>
        <x:v>0</x:v>
      </x:c>
      <x:c r="L30" s="67" t="n">
        <x:v>14.6</x:v>
      </x:c>
      <x:c r="M30" s="67" t="n">
        <x:v>14.6</x:v>
      </x:c>
      <x:c r="N30" s="89" t="n">
        <x:f>M30-L30</x:f>
        <x:v>0</x:v>
      </x:c>
      <x:c r="O30" s="67" t="n">
        <x:v>20.619791666666668</x:v>
      </x:c>
      <x:c r="P30" s="67" t="n">
        <x:v>20.23645833333333</x:v>
      </x:c>
      <x:c r="Q30" s="89" t="n">
        <x:f>P30-O30</x:f>
        <x:v>-0.3833333333333364</x:v>
      </x:c>
      <x:c r="R30" s="90" t="n">
        <x:v>0</x:v>
      </x:c>
      <x:c r="S30" s="90" t="n">
        <x:v>0</x:v>
      </x:c>
      <x:c r="T30" s="91" t="n">
        <x:f>S30-R30</x:f>
        <x:v>0</x:v>
      </x:c>
      <x:c r="U30" s="90" t="n">
        <x:v>0</x:v>
      </x:c>
      <x:c r="V30" s="90" t="n">
        <x:v>0</x:v>
      </x:c>
      <x:c r="W30" s="91" t="n">
        <x:f>V30-U30</x:f>
        <x:v>0</x:v>
      </x:c>
      <x:c r="X30" s="90" t="n">
        <x:v>0</x:v>
      </x:c>
      <x:c r="Y30" s="90" t="n">
        <x:v>0</x:v>
      </x:c>
      <x:c r="Z30" s="91" t="n">
        <x:f>Y30-X30</x:f>
        <x:v>0</x:v>
      </x:c>
    </x:row>
    <x:row r="31" ht="19" customHeight="1">
      <x:c r="A31" s="36" t="n">
        <x:v>1975</x:v>
      </x:c>
      <x:c r="B31" s="88" t="n">
        <x:v>27638</x:v>
      </x:c>
      <x:c r="C31" s="88" t="n">
        <x:v>27635</x:v>
      </x:c>
      <x:c r="D31" s="36" t="n">
        <x:v>1</x:v>
      </x:c>
      <x:c r="E31" s="36" t="n">
        <x:v>3</x:v>
      </x:c>
      <x:c r="F31" s="67" t="n">
        <x:v>20.39270833333333</x:v>
      </x:c>
      <x:c r="G31" s="67" t="n">
        <x:v>20.164583333333333</x:v>
      </x:c>
      <x:c r="H31" s="89" t="n">
        <x:f>G31-F31</x:f>
        <x:v>-0.22812499999999858</x:v>
      </x:c>
      <x:c r="I31" s="67" t="n">
        <x:v>27.3</x:v>
      </x:c>
      <x:c r="J31" s="67" t="n">
        <x:v>28.4</x:v>
      </x:c>
      <x:c r="K31" s="89" t="n">
        <x:f>J31-I31</x:f>
        <x:v>1.0999999999999979</x:v>
      </x:c>
      <x:c r="L31" s="67" t="n">
        <x:v>15.8</x:v>
      </x:c>
      <x:c r="M31" s="67" t="n">
        <x:v>14.4</x:v>
      </x:c>
      <x:c r="N31" s="89" t="n">
        <x:f>M31-L31</x:f>
        <x:v>-1.4000000000000004</x:v>
      </x:c>
      <x:c r="O31" s="67" t="n">
        <x:v>21.420833333333334</x:v>
      </x:c>
      <x:c r="P31" s="67" t="n">
        <x:v>20.878125</x:v>
      </x:c>
      <x:c r="Q31" s="89" t="n">
        <x:f>P31-O31</x:f>
        <x:v>-0.5427083333333336</x:v>
      </x:c>
      <x:c r="R31" s="90" t="n">
        <x:v>0</x:v>
      </x:c>
      <x:c r="S31" s="90" t="n">
        <x:v>0</x:v>
      </x:c>
      <x:c r="T31" s="91" t="n">
        <x:f>S31-R31</x:f>
        <x:v>0</x:v>
      </x:c>
      <x:c r="U31" s="90" t="n">
        <x:v>0</x:v>
      </x:c>
      <x:c r="V31" s="90" t="n">
        <x:v>0</x:v>
      </x:c>
      <x:c r="W31" s="91" t="n">
        <x:f>V31-U31</x:f>
        <x:v>0</x:v>
      </x:c>
      <x:c r="X31" s="90" t="n">
        <x:v>0</x:v>
      </x:c>
      <x:c r="Y31" s="90" t="n">
        <x:v>0</x:v>
      </x:c>
      <x:c r="Z31" s="91" t="n">
        <x:f>Y31-X31</x:f>
        <x:v>0</x:v>
      </x:c>
    </x:row>
    <x:row r="32" ht="19" customHeight="1">
      <x:c r="A32" s="36" t="n">
        <x:v>1976</x:v>
      </x:c>
      <x:c r="B32" s="88" t="n">
        <x:v>28004</x:v>
      </x:c>
      <x:c r="C32" s="88" t="n">
        <x:v>27999</x:v>
      </x:c>
      <x:c r="D32" s="36" t="n">
        <x:v>0</x:v>
      </x:c>
      <x:c r="E32" s="36" t="n">
        <x:v>5</x:v>
      </x:c>
      <x:c r="F32" s="67" t="n">
        <x:v>20.475</x:v>
      </x:c>
      <x:c r="G32" s="67" t="n">
        <x:v>19.9625</x:v>
      </x:c>
      <x:c r="H32" s="89" t="n">
        <x:f>G32-F32</x:f>
        <x:v>-0.5125000000000028</x:v>
      </x:c>
      <x:c r="I32" s="67" t="n">
        <x:v>26.5</x:v>
      </x:c>
      <x:c r="J32" s="67" t="n">
        <x:v>26.3</x:v>
      </x:c>
      <x:c r="K32" s="89" t="n">
        <x:f>J32-I32</x:f>
        <x:v>-0.1999999999999993</x:v>
      </x:c>
      <x:c r="L32" s="67" t="n">
        <x:v>14.8</x:v>
      </x:c>
      <x:c r="M32" s="67" t="n">
        <x:v>14.3</x:v>
      </x:c>
      <x:c r="N32" s="89" t="n">
        <x:f>M32-L32</x:f>
        <x:v>-0.5</x:v>
      </x:c>
      <x:c r="O32" s="67" t="n">
        <x:v>20.365625</x:v>
      </x:c>
      <x:c r="P32" s="67" t="n">
        <x:v>20.471875</x:v>
      </x:c>
      <x:c r="Q32" s="89" t="n">
        <x:f>P32-O32</x:f>
        <x:v>0.10624999999999929</x:v>
      </x:c>
      <x:c r="R32" s="90" t="n">
        <x:v>0</x:v>
      </x:c>
      <x:c r="S32" s="90" t="n">
        <x:v>0</x:v>
      </x:c>
      <x:c r="T32" s="91" t="n">
        <x:f>S32-R32</x:f>
        <x:v>0</x:v>
      </x:c>
      <x:c r="U32" s="90" t="n">
        <x:v>0</x:v>
      </x:c>
      <x:c r="V32" s="90" t="n">
        <x:v>0</x:v>
      </x:c>
      <x:c r="W32" s="91" t="n">
        <x:f>V32-U32</x:f>
        <x:v>0</x:v>
      </x:c>
      <x:c r="X32" s="90" t="n">
        <x:v>0</x:v>
      </x:c>
      <x:c r="Y32" s="90" t="n">
        <x:v>0</x:v>
      </x:c>
      <x:c r="Z32" s="91" t="n">
        <x:f>Y32-X32</x:f>
        <x:v>0</x:v>
      </x:c>
    </x:row>
    <x:row r="33" ht="19" customHeight="1">
      <x:c r="A33" s="36" t="n">
        <x:v>1977</x:v>
      </x:c>
      <x:c r="B33" s="88" t="n">
        <x:v>28369</x:v>
      </x:c>
      <x:c r="C33" s="88" t="n">
        <x:v>28363</x:v>
      </x:c>
      <x:c r="D33" s="36" t="n">
        <x:v>0</x:v>
      </x:c>
      <x:c r="E33" s="36" t="n">
        <x:v>6</x:v>
      </x:c>
      <x:c r="F33" s="67" t="n">
        <x:v>19.719791666666666</x:v>
      </x:c>
      <x:c r="G33" s="67" t="n">
        <x:v>17.977083333333333</x:v>
      </x:c>
      <x:c r="H33" s="89" t="n">
        <x:f>G33-F33</x:f>
        <x:v>-1.7427083333333329</x:v>
      </x:c>
      <x:c r="I33" s="67" t="n">
        <x:v>25.5</x:v>
      </x:c>
      <x:c r="J33" s="67" t="n">
        <x:v>28.3</x:v>
      </x:c>
      <x:c r="K33" s="89" t="n">
        <x:f>J33-I33</x:f>
        <x:v>2.8000000000000007</x:v>
      </x:c>
      <x:c r="L33" s="67" t="n">
        <x:v>15</x:v>
      </x:c>
      <x:c r="M33" s="67" t="n">
        <x:v>10.6</x:v>
      </x:c>
      <x:c r="N33" s="89" t="n">
        <x:f>M33-L33</x:f>
        <x:v>-4.4</x:v>
      </x:c>
      <x:c r="O33" s="67" t="n">
        <x:v>20.953125</x:v>
      </x:c>
      <x:c r="P33" s="67" t="n">
        <x:v>17.664583333333333</x:v>
      </x:c>
      <x:c r="Q33" s="89" t="n">
        <x:f>P33-O33</x:f>
        <x:v>-3.288541666666667</x:v>
      </x:c>
      <x:c r="R33" s="90" t="n">
        <x:v>0</x:v>
      </x:c>
      <x:c r="S33" s="90" t="n">
        <x:v>0</x:v>
      </x:c>
      <x:c r="T33" s="91" t="n">
        <x:f>S33-R33</x:f>
        <x:v>0</x:v>
      </x:c>
      <x:c r="U33" s="90" t="n">
        <x:v>0</x:v>
      </x:c>
      <x:c r="V33" s="90" t="n">
        <x:v>0</x:v>
      </x:c>
      <x:c r="W33" s="91" t="n">
        <x:f>V33-U33</x:f>
        <x:v>0</x:v>
      </x:c>
      <x:c r="X33" s="90" t="n">
        <x:v>0</x:v>
      </x:c>
      <x:c r="Y33" s="90" t="n">
        <x:v>0</x:v>
      </x:c>
      <x:c r="Z33" s="91" t="n">
        <x:f>Y33-X33</x:f>
        <x:v>0</x:v>
      </x:c>
    </x:row>
    <x:row r="34" ht="19" customHeight="1">
      <x:c r="A34" s="36" t="n">
        <x:v>1978</x:v>
      </x:c>
      <x:c r="B34" s="88" t="n">
        <x:v>28734</x:v>
      </x:c>
      <x:c r="C34" s="88" t="n">
        <x:v>28727</x:v>
      </x:c>
      <x:c r="D34" s="36" t="n">
        <x:v>0</x:v>
      </x:c>
      <x:c r="E34" s="36" t="n">
        <x:v>7</x:v>
      </x:c>
      <x:c r="F34" s="67" t="n">
        <x:v>22.217708333333334</x:v>
      </x:c>
      <x:c r="G34" s="67" t="n">
        <x:v>22.782291666666666</x:v>
      </x:c>
      <x:c r="H34" s="89" t="n">
        <x:f>G34-F34</x:f>
        <x:v>0.5645833333333314</x:v>
      </x:c>
      <x:c r="I34" s="67" t="n">
        <x:v>29.6</x:v>
      </x:c>
      <x:c r="J34" s="67" t="n">
        <x:v>28.9</x:v>
      </x:c>
      <x:c r="K34" s="89" t="n">
        <x:f>J34-I34</x:f>
        <x:v>-0.7000000000000028</x:v>
      </x:c>
      <x:c r="L34" s="67" t="n">
        <x:v>16.4</x:v>
      </x:c>
      <x:c r="M34" s="67" t="n">
        <x:v>17.8</x:v>
      </x:c>
      <x:c r="N34" s="89" t="n">
        <x:f>M34-L34</x:f>
        <x:v>1.4000000000000021</x:v>
      </x:c>
      <x:c r="O34" s="67" t="n">
        <x:v>22.583333333333336</x:v>
      </x:c>
      <x:c r="P34" s="67" t="n">
        <x:v>24.947916666666664</x:v>
      </x:c>
      <x:c r="Q34" s="89" t="n">
        <x:f>P34-O34</x:f>
        <x:v>2.3645833333333286</x:v>
      </x:c>
      <x:c r="R34" s="90" t="n">
        <x:v>0</x:v>
      </x:c>
      <x:c r="S34" s="90" t="n">
        <x:v>0</x:v>
      </x:c>
      <x:c r="T34" s="91" t="n">
        <x:f>S34-R34</x:f>
        <x:v>0</x:v>
      </x:c>
      <x:c r="U34" s="90" t="n">
        <x:v>0</x:v>
      </x:c>
      <x:c r="V34" s="90" t="n">
        <x:v>0</x:v>
      </x:c>
      <x:c r="W34" s="91" t="n">
        <x:f>V34-U34</x:f>
        <x:v>0</x:v>
      </x:c>
      <x:c r="X34" s="90" t="n">
        <x:v>0</x:v>
      </x:c>
      <x:c r="Y34" s="90" t="n">
        <x:v>0</x:v>
      </x:c>
      <x:c r="Z34" s="91" t="n">
        <x:f>Y34-X34</x:f>
        <x:v>0</x:v>
      </x:c>
    </x:row>
    <x:row r="35" ht="19" customHeight="1">
      <x:c r="A35" s="36" t="n">
        <x:v>1979</x:v>
      </x:c>
      <x:c r="B35" s="88" t="n">
        <x:v>29099</x:v>
      </x:c>
      <x:c r="C35" s="88" t="n">
        <x:v>29098</x:v>
      </x:c>
      <x:c r="D35" s="36" t="n">
        <x:v>3</x:v>
      </x:c>
      <x:c r="E35" s="36" t="n">
        <x:v>1</x:v>
      </x:c>
      <x:c r="F35" s="67" t="n">
        <x:v>21.169791666666665</x:v>
      </x:c>
      <x:c r="G35" s="67" t="n">
        <x:v>21.04895833333333</x:v>
      </x:c>
      <x:c r="H35" s="89" t="n">
        <x:f>G35-F35</x:f>
        <x:v>-0.12083333333333357</x:v>
      </x:c>
      <x:c r="I35" s="67" t="n">
        <x:v>27.7</x:v>
      </x:c>
      <x:c r="J35" s="67" t="n">
        <x:v>27.5</x:v>
      </x:c>
      <x:c r="K35" s="89" t="n">
        <x:f>J35-I35</x:f>
        <x:v>-0.1999999999999993</x:v>
      </x:c>
      <x:c r="L35" s="67" t="n">
        <x:v>14.2</x:v>
      </x:c>
      <x:c r="M35" s="67" t="n">
        <x:v>14.2</x:v>
      </x:c>
      <x:c r="N35" s="89" t="n">
        <x:f>M35-L35</x:f>
        <x:v>0</x:v>
      </x:c>
      <x:c r="O35" s="67" t="n">
        <x:v>21.82604166666667</x:v>
      </x:c>
      <x:c r="P35" s="67" t="n">
        <x:v>21.59583333333333</x:v>
      </x:c>
      <x:c r="Q35" s="89" t="n">
        <x:f>P35-O35</x:f>
        <x:v>-0.23020833333333712</x:v>
      </x:c>
      <x:c r="R35" s="90" t="n">
        <x:v>0</x:v>
      </x:c>
      <x:c r="S35" s="90" t="n">
        <x:v>0</x:v>
      </x:c>
      <x:c r="T35" s="91" t="n">
        <x:f>S35-R35</x:f>
        <x:v>0</x:v>
      </x:c>
      <x:c r="U35" s="90" t="n">
        <x:v>0</x:v>
      </x:c>
      <x:c r="V35" s="90" t="n">
        <x:v>0</x:v>
      </x:c>
      <x:c r="W35" s="91" t="n">
        <x:f>V35-U35</x:f>
        <x:v>0</x:v>
      </x:c>
      <x:c r="X35" s="90" t="n">
        <x:v>0</x:v>
      </x:c>
      <x:c r="Y35" s="90" t="n">
        <x:v>0</x:v>
      </x:c>
      <x:c r="Z35" s="91" t="n">
        <x:f>Y35-X35</x:f>
        <x:v>0</x:v>
      </x:c>
    </x:row>
    <x:row r="36" ht="19" customHeight="1">
      <x:c r="A36" s="36" t="n">
        <x:v>1980</x:v>
      </x:c>
      <x:c r="B36" s="88" t="n">
        <x:v>29465</x:v>
      </x:c>
      <x:c r="C36" s="88" t="n">
        <x:v>29462</x:v>
      </x:c>
      <x:c r="D36" s="36" t="n">
        <x:v>1</x:v>
      </x:c>
      <x:c r="E36" s="36" t="n">
        <x:v>3</x:v>
      </x:c>
      <x:c r="F36" s="67" t="n">
        <x:v>22.0125</x:v>
      </x:c>
      <x:c r="G36" s="67" t="n">
        <x:v>23.994791666666668</x:v>
      </x:c>
      <x:c r="H36" s="89" t="n">
        <x:f>G36-F36</x:f>
        <x:v>1.9822916666666686</x:v>
      </x:c>
      <x:c r="I36" s="67" t="n">
        <x:v>27.8</x:v>
      </x:c>
      <x:c r="J36" s="67" t="n">
        <x:v>33.2</x:v>
      </x:c>
      <x:c r="K36" s="89" t="n">
        <x:f>J36-I36</x:f>
        <x:v>5.400000000000002</x:v>
      </x:c>
      <x:c r="L36" s="67" t="n">
        <x:v>16.6</x:v>
      </x:c>
      <x:c r="M36" s="67" t="n">
        <x:v>17</x:v>
      </x:c>
      <x:c r="N36" s="89" t="n">
        <x:f>M36-L36</x:f>
        <x:v>0.3999999999999986</x:v>
      </x:c>
      <x:c r="O36" s="67" t="n">
        <x:v>23.423958333333335</x:v>
      </x:c>
      <x:c r="P36" s="67" t="n">
        <x:v>25.252083333333335</x:v>
      </x:c>
      <x:c r="Q36" s="89" t="n">
        <x:f>P36-O36</x:f>
        <x:v>1.828125</x:v>
      </x:c>
      <x:c r="R36" s="90" t="n">
        <x:v>0</x:v>
      </x:c>
      <x:c r="S36" s="90" t="n">
        <x:v>1</x:v>
      </x:c>
      <x:c r="T36" s="91" t="n">
        <x:f>S36-R36</x:f>
        <x:v>1</x:v>
      </x:c>
      <x:c r="U36" s="90" t="n">
        <x:v>0</x:v>
      </x:c>
      <x:c r="V36" s="90" t="n">
        <x:v>1</x:v>
      </x:c>
      <x:c r="W36" s="91" t="n">
        <x:f>V36-U36</x:f>
        <x:v>1</x:v>
      </x:c>
      <x:c r="X36" s="90" t="n">
        <x:v>0</x:v>
      </x:c>
      <x:c r="Y36" s="90" t="n">
        <x:v>0</x:v>
      </x:c>
      <x:c r="Z36" s="91" t="n">
        <x:f>Y36-X36</x:f>
        <x:v>0</x:v>
      </x:c>
    </x:row>
    <x:row r="37" ht="19" customHeight="1">
      <x:c r="A37" s="36" t="n">
        <x:v>1981</x:v>
      </x:c>
      <x:c r="B37" s="88" t="n">
        <x:v>29830</x:v>
      </x:c>
      <x:c r="C37" s="88" t="n">
        <x:v>29826</x:v>
      </x:c>
      <x:c r="D37" s="36" t="n">
        <x:v>0</x:v>
      </x:c>
      <x:c r="E37" s="36" t="n">
        <x:v>4</x:v>
      </x:c>
      <x:c r="F37" s="67" t="n">
        <x:v>21.84166666666667</x:v>
      </x:c>
      <x:c r="G37" s="67" t="n">
        <x:v>21.419791666666665</x:v>
      </x:c>
      <x:c r="H37" s="89" t="n">
        <x:f>G37-F37</x:f>
        <x:v>-0.42187500000000355</x:v>
      </x:c>
      <x:c r="I37" s="67" t="n">
        <x:v>28.2</x:v>
      </x:c>
      <x:c r="J37" s="67" t="n">
        <x:v>28.3</x:v>
      </x:c>
      <x:c r="K37" s="89" t="n">
        <x:f>J37-I37</x:f>
        <x:v>0.10000000000000142</x:v>
      </x:c>
      <x:c r="L37" s="67" t="n">
        <x:v>16.9</x:v>
      </x:c>
      <x:c r="M37" s="67" t="n">
        <x:v>14.3</x:v>
      </x:c>
      <x:c r="N37" s="89" t="n">
        <x:f>M37-L37</x:f>
        <x:v>-2.599999999999998</x:v>
      </x:c>
      <x:c r="O37" s="67" t="n">
        <x:v>22.98229166666667</x:v>
      </x:c>
      <x:c r="P37" s="67" t="n">
        <x:v>21.491666666666667</x:v>
      </x:c>
      <x:c r="Q37" s="89" t="n">
        <x:f>P37-O37</x:f>
        <x:v>-1.4906250000000014</x:v>
      </x:c>
      <x:c r="R37" s="90" t="n">
        <x:v>0</x:v>
      </x:c>
      <x:c r="S37" s="90" t="n">
        <x:v>0</x:v>
      </x:c>
      <x:c r="T37" s="91" t="n">
        <x:f>S37-R37</x:f>
        <x:v>0</x:v>
      </x:c>
      <x:c r="U37" s="90" t="n">
        <x:v>0</x:v>
      </x:c>
      <x:c r="V37" s="90" t="n">
        <x:v>0</x:v>
      </x:c>
      <x:c r="W37" s="91" t="n">
        <x:f>V37-U37</x:f>
        <x:v>0</x:v>
      </x:c>
      <x:c r="X37" s="90" t="n">
        <x:v>0</x:v>
      </x:c>
      <x:c r="Y37" s="90" t="n">
        <x:v>0</x:v>
      </x:c>
      <x:c r="Z37" s="91" t="n">
        <x:f>Y37-X37</x:f>
        <x:v>0</x:v>
      </x:c>
    </x:row>
    <x:row r="38" ht="19" customHeight="1">
      <x:c r="A38" s="36" t="n">
        <x:v>1982</x:v>
      </x:c>
      <x:c r="B38" s="88" t="n">
        <x:v>30195</x:v>
      </x:c>
      <x:c r="C38" s="88" t="n">
        <x:v>30190</x:v>
      </x:c>
      <x:c r="D38" s="36" t="n">
        <x:v>0</x:v>
      </x:c>
      <x:c r="E38" s="36" t="n">
        <x:v>5</x:v>
      </x:c>
      <x:c r="F38" s="67" t="n">
        <x:v>18.14270833333333</x:v>
      </x:c>
      <x:c r="G38" s="67" t="n">
        <x:v>22.0375</x:v>
      </x:c>
      <x:c r="H38" s="89" t="n">
        <x:f>G38-F38</x:f>
        <x:v>3.89479166666667</x:v>
      </x:c>
      <x:c r="I38" s="67" t="n">
        <x:v>25.9</x:v>
      </x:c>
      <x:c r="J38" s="67" t="n">
        <x:v>29.1</x:v>
      </x:c>
      <x:c r="K38" s="89" t="n">
        <x:f>J38-I38</x:f>
        <x:v>3.200000000000003</x:v>
      </x:c>
      <x:c r="L38" s="67" t="n">
        <x:v>11.8</x:v>
      </x:c>
      <x:c r="M38" s="67" t="n">
        <x:v>16.4</x:v>
      </x:c>
      <x:c r="N38" s="89" t="n">
        <x:f>M38-L38</x:f>
        <x:v>4.599999999999998</x:v>
      </x:c>
      <x:c r="O38" s="67" t="n">
        <x:v>17.626041666666666</x:v>
      </x:c>
      <x:c r="P38" s="67" t="n">
        <x:v>22.977083333333333</x:v>
      </x:c>
      <x:c r="Q38" s="89" t="n">
        <x:f>P38-O38</x:f>
        <x:v>5.351041666666667</x:v>
      </x:c>
      <x:c r="R38" s="90" t="n">
        <x:v>0</x:v>
      </x:c>
      <x:c r="S38" s="90" t="n">
        <x:v>0</x:v>
      </x:c>
      <x:c r="T38" s="91" t="n">
        <x:f>S38-R38</x:f>
        <x:v>0</x:v>
      </x:c>
      <x:c r="U38" s="90" t="n">
        <x:v>0</x:v>
      </x:c>
      <x:c r="V38" s="90" t="n">
        <x:v>0</x:v>
      </x:c>
      <x:c r="W38" s="91" t="n">
        <x:f>V38-U38</x:f>
        <x:v>0</x:v>
      </x:c>
      <x:c r="X38" s="90" t="n">
        <x:v>0</x:v>
      </x:c>
      <x:c r="Y38" s="90" t="n">
        <x:v>0</x:v>
      </x:c>
      <x:c r="Z38" s="91" t="n">
        <x:f>Y38-X38</x:f>
        <x:v>0</x:v>
      </x:c>
    </x:row>
    <x:row r="39" ht="19" customHeight="1">
      <x:c r="A39" s="36" t="n">
        <x:v>1983</x:v>
      </x:c>
      <x:c r="B39" s="88" t="n">
        <x:v>30560</x:v>
      </x:c>
      <x:c r="C39" s="88" t="n">
        <x:v>30554</x:v>
      </x:c>
      <x:c r="D39" s="36" t="n">
        <x:v>0</x:v>
      </x:c>
      <x:c r="E39" s="36" t="n">
        <x:v>6</x:v>
      </x:c>
      <x:c r="F39" s="67" t="n">
        <x:v>21.3125</x:v>
      </x:c>
      <x:c r="G39" s="67" t="n">
        <x:v>19.605208333333334</x:v>
      </x:c>
      <x:c r="H39" s="89" t="n">
        <x:f>G39-F39</x:f>
        <x:v>-1.7072916666666664</x:v>
      </x:c>
      <x:c r="I39" s="67" t="n">
        <x:v>27.6</x:v>
      </x:c>
      <x:c r="J39" s="67" t="n">
        <x:v>25.1</x:v>
      </x:c>
      <x:c r="K39" s="89" t="n">
        <x:f>J39-I39</x:f>
        <x:v>-2.5</x:v>
      </x:c>
      <x:c r="L39" s="67" t="n">
        <x:v>16.4</x:v>
      </x:c>
      <x:c r="M39" s="67" t="n">
        <x:v>15.4</x:v>
      </x:c>
      <x:c r="N39" s="89" t="n">
        <x:f>M39-L39</x:f>
        <x:v>-0.9999999999999982</x:v>
      </x:c>
      <x:c r="O39" s="67" t="n">
        <x:v>21.643749999999997</x:v>
      </x:c>
      <x:c r="P39" s="67" t="n">
        <x:v>20.776041666666668</x:v>
      </x:c>
      <x:c r="Q39" s="89" t="n">
        <x:f>P39-O39</x:f>
        <x:v>-0.8677083333333293</x:v>
      </x:c>
      <x:c r="R39" s="90" t="n">
        <x:v>0</x:v>
      </x:c>
      <x:c r="S39" s="90" t="n">
        <x:v>0</x:v>
      </x:c>
      <x:c r="T39" s="91" t="n">
        <x:f>S39-R39</x:f>
        <x:v>0</x:v>
      </x:c>
      <x:c r="U39" s="90" t="n">
        <x:v>0</x:v>
      </x:c>
      <x:c r="V39" s="90" t="n">
        <x:v>0</x:v>
      </x:c>
      <x:c r="W39" s="91" t="n">
        <x:f>V39-U39</x:f>
        <x:v>0</x:v>
      </x:c>
      <x:c r="X39" s="90" t="n">
        <x:v>0</x:v>
      </x:c>
      <x:c r="Y39" s="90" t="n">
        <x:v>0</x:v>
      </x:c>
      <x:c r="Z39" s="91" t="n">
        <x:f>Y39-X39</x:f>
        <x:v>0</x:v>
      </x:c>
    </x:row>
    <x:row r="40" ht="19" customHeight="1">
      <x:c r="A40" s="36" t="n">
        <x:v>1984</x:v>
      </x:c>
      <x:c r="B40" s="88" t="n">
        <x:v>30926</x:v>
      </x:c>
      <x:c r="C40" s="88" t="n">
        <x:v>30925</x:v>
      </x:c>
      <x:c r="D40" s="36" t="n">
        <x:v>3</x:v>
      </x:c>
      <x:c r="E40" s="36" t="n">
        <x:v>1</x:v>
      </x:c>
      <x:c r="F40" s="67" t="n">
        <x:v>23.703125</x:v>
      </x:c>
      <x:c r="G40" s="67" t="n">
        <x:v>23.023958333333333</x:v>
      </x:c>
      <x:c r="H40" s="89" t="n">
        <x:f>G40-F40</x:f>
        <x:v>-0.6791666666666671</x:v>
      </x:c>
      <x:c r="I40" s="67" t="n">
        <x:v>32.1</x:v>
      </x:c>
      <x:c r="J40" s="67" t="n">
        <x:v>32.1</x:v>
      </x:c>
      <x:c r="K40" s="89" t="n">
        <x:f>J40-I40</x:f>
        <x:v>0</x:v>
      </x:c>
      <x:c r="L40" s="67" t="n">
        <x:v>16.6</x:v>
      </x:c>
      <x:c r="M40" s="67" t="n">
        <x:v>14.8</x:v>
      </x:c>
      <x:c r="N40" s="89" t="n">
        <x:f>M40-L40</x:f>
        <x:v>-1.8000000000000007</x:v>
      </x:c>
      <x:c r="O40" s="67" t="n">
        <x:v>23.26875</x:v>
      </x:c>
      <x:c r="P40" s="67" t="n">
        <x:v>22.73125</x:v>
      </x:c>
      <x:c r="Q40" s="89" t="n">
        <x:f>P40-O40</x:f>
        <x:v>-0.5375000000000014</x:v>
      </x:c>
      <x:c r="R40" s="90" t="n">
        <x:v>1</x:v>
      </x:c>
      <x:c r="S40" s="90" t="n">
        <x:v>1</x:v>
      </x:c>
      <x:c r="T40" s="91" t="n">
        <x:f>S40-R40</x:f>
        <x:v>0</x:v>
      </x:c>
      <x:c r="U40" s="90" t="n">
        <x:v>1</x:v>
      </x:c>
      <x:c r="V40" s="90" t="n">
        <x:v>1</x:v>
      </x:c>
      <x:c r="W40" s="91" t="n">
        <x:f>V40-U40</x:f>
        <x:v>0</x:v>
      </x:c>
      <x:c r="X40" s="90" t="n">
        <x:v>0</x:v>
      </x:c>
      <x:c r="Y40" s="90" t="n">
        <x:v>0</x:v>
      </x:c>
      <x:c r="Z40" s="91" t="n">
        <x:f>Y40-X40</x:f>
        <x:v>0</x:v>
      </x:c>
    </x:row>
    <x:row r="41" ht="19" customHeight="1">
      <x:c r="A41" s="36" t="n">
        <x:v>1985</x:v>
      </x:c>
      <x:c r="B41" s="88" t="n">
        <x:v>31291</x:v>
      </x:c>
      <x:c r="C41" s="88" t="n">
        <x:v>31289</x:v>
      </x:c>
      <x:c r="D41" s="36" t="n">
        <x:v>2</x:v>
      </x:c>
      <x:c r="E41" s="36" t="n">
        <x:v>2</x:v>
      </x:c>
      <x:c r="F41" s="67" t="n">
        <x:v>24.579166666666666</x:v>
      </x:c>
      <x:c r="G41" s="67" t="n">
        <x:v>24.023958333333333</x:v>
      </x:c>
      <x:c r="H41" s="89" t="n">
        <x:f>G41-F41</x:f>
        <x:v>-0.5552083333333329</x:v>
      </x:c>
      <x:c r="I41" s="67" t="n">
        <x:v>34.1</x:v>
      </x:c>
      <x:c r="J41" s="67" t="n">
        <x:v>31.5</x:v>
      </x:c>
      <x:c r="K41" s="89" t="n">
        <x:f>J41-I41</x:f>
        <x:v>-2.6000000000000014</x:v>
      </x:c>
      <x:c r="L41" s="67" t="n">
        <x:v>18.1</x:v>
      </x:c>
      <x:c r="M41" s="67" t="n">
        <x:v>17.5</x:v>
      </x:c>
      <x:c r="N41" s="89" t="n">
        <x:f>M41-L41</x:f>
        <x:v>-0.6000000000000014</x:v>
      </x:c>
      <x:c r="O41" s="67" t="n">
        <x:v>25.383333333333333</x:v>
      </x:c>
      <x:c r="P41" s="67" t="n">
        <x:v>24.59791666666667</x:v>
      </x:c>
      <x:c r="Q41" s="89" t="n">
        <x:f>P41-O41</x:f>
        <x:v>-0.7854166666666629</x:v>
      </x:c>
      <x:c r="R41" s="90" t="n">
        <x:v>1</x:v>
      </x:c>
      <x:c r="S41" s="90" t="n">
        <x:v>1</x:v>
      </x:c>
      <x:c r="T41" s="91" t="n">
        <x:f>S41-R41</x:f>
        <x:v>0</x:v>
      </x:c>
      <x:c r="U41" s="90" t="n">
        <x:v>1</x:v>
      </x:c>
      <x:c r="V41" s="90" t="n">
        <x:v>0</x:v>
      </x:c>
      <x:c r="W41" s="91" t="n">
        <x:f>V41-U41</x:f>
        <x:v>-1</x:v>
      </x:c>
      <x:c r="X41" s="90" t="n">
        <x:v>0</x:v>
      </x:c>
      <x:c r="Y41" s="90" t="n">
        <x:v>0</x:v>
      </x:c>
      <x:c r="Z41" s="91" t="n">
        <x:f>Y41-X41</x:f>
        <x:v>0</x:v>
      </x:c>
    </x:row>
    <x:row r="42" ht="19" customHeight="1">
      <x:c r="A42" s="36" t="n">
        <x:v>1986</x:v>
      </x:c>
      <x:c r="B42" s="88" t="n">
        <x:v>31656</x:v>
      </x:c>
      <x:c r="C42" s="88" t="n">
        <x:v>31653</x:v>
      </x:c>
      <x:c r="D42" s="36" t="n">
        <x:v>1</x:v>
      </x:c>
      <x:c r="E42" s="36" t="n">
        <x:v>3</x:v>
      </x:c>
      <x:c r="F42" s="67" t="n">
        <x:v>21.388541666666665</x:v>
      </x:c>
      <x:c r="G42" s="67" t="n">
        <x:v>18.6125</x:v>
      </x:c>
      <x:c r="H42" s="89" t="n">
        <x:f>G42-F42</x:f>
        <x:v>-2.7760416666666643</x:v>
      </x:c>
      <x:c r="I42" s="67" t="n">
        <x:v>29.4</x:v>
      </x:c>
      <x:c r="J42" s="67" t="n">
        <x:v>25.6</x:v>
      </x:c>
      <x:c r="K42" s="89" t="n">
        <x:f>J42-I42</x:f>
        <x:v>-3.799999999999997</x:v>
      </x:c>
      <x:c r="L42" s="67" t="n">
        <x:v>15.5</x:v>
      </x:c>
      <x:c r="M42" s="67" t="n">
        <x:v>14.4</x:v>
      </x:c>
      <x:c r="N42" s="89" t="n">
        <x:f>M42-L42</x:f>
        <x:v>-1.0999999999999996</x:v>
      </x:c>
      <x:c r="O42" s="67" t="n">
        <x:v>21.78125</x:v>
      </x:c>
      <x:c r="P42" s="67" t="n">
        <x:v>18.31458333333333</x:v>
      </x:c>
      <x:c r="Q42" s="89" t="n">
        <x:f>P42-O42</x:f>
        <x:v>-3.4666666666666686</x:v>
      </x:c>
      <x:c r="R42" s="90" t="n">
        <x:v>0</x:v>
      </x:c>
      <x:c r="S42" s="90" t="n">
        <x:v>0</x:v>
      </x:c>
      <x:c r="T42" s="91" t="n">
        <x:f>S42-R42</x:f>
        <x:v>0</x:v>
      </x:c>
      <x:c r="U42" s="90" t="n">
        <x:v>0</x:v>
      </x:c>
      <x:c r="V42" s="90" t="n">
        <x:v>0</x:v>
      </x:c>
      <x:c r="W42" s="91" t="n">
        <x:f>V42-U42</x:f>
        <x:v>0</x:v>
      </x:c>
      <x:c r="X42" s="90" t="n">
        <x:v>0</x:v>
      </x:c>
      <x:c r="Y42" s="90" t="n">
        <x:v>0</x:v>
      </x:c>
      <x:c r="Z42" s="91" t="n">
        <x:f>Y42-X42</x:f>
        <x:v>0</x:v>
      </x:c>
    </x:row>
    <x:row r="43" ht="19" customHeight="1">
      <x:c r="A43" s="36" t="n">
        <x:v>1987</x:v>
      </x:c>
      <x:c r="B43" s="88" t="n">
        <x:v>32021</x:v>
      </x:c>
      <x:c r="C43" s="88" t="n">
        <x:v>32017</x:v>
      </x:c>
      <x:c r="D43" s="36" t="n">
        <x:v>0</x:v>
      </x:c>
      <x:c r="E43" s="36" t="n">
        <x:v>4</x:v>
      </x:c>
      <x:c r="F43" s="67" t="n">
        <x:v>22.378124999999997</x:v>
      </x:c>
      <x:c r="G43" s="67" t="n">
        <x:v>20.823958333333334</x:v>
      </x:c>
      <x:c r="H43" s="89" t="n">
        <x:f>G43-F43</x:f>
        <x:v>-1.5541666666666636</x:v>
      </x:c>
      <x:c r="I43" s="67" t="n">
        <x:v>27.8</x:v>
      </x:c>
      <x:c r="J43" s="67" t="n">
        <x:v>27.8</x:v>
      </x:c>
      <x:c r="K43" s="89" t="n">
        <x:f>J43-I43</x:f>
        <x:v>0</x:v>
      </x:c>
      <x:c r="L43" s="67" t="n">
        <x:v>18</x:v>
      </x:c>
      <x:c r="M43" s="67" t="n">
        <x:v>17.4</x:v>
      </x:c>
      <x:c r="N43" s="89" t="n">
        <x:f>M43-L43</x:f>
        <x:v>-0.6000000000000014</x:v>
      </x:c>
      <x:c r="O43" s="67" t="n">
        <x:v>24.132291666666667</x:v>
      </x:c>
      <x:c r="P43" s="67" t="n">
        <x:v>21.351041666666667</x:v>
      </x:c>
      <x:c r="Q43" s="89" t="n">
        <x:f>P43-O43</x:f>
        <x:v>-2.78125</x:v>
      </x:c>
      <x:c r="R43" s="90" t="n">
        <x:v>0</x:v>
      </x:c>
      <x:c r="S43" s="90" t="n">
        <x:v>0</x:v>
      </x:c>
      <x:c r="T43" s="91" t="n">
        <x:f>S43-R43</x:f>
        <x:v>0</x:v>
      </x:c>
      <x:c r="U43" s="90" t="n">
        <x:v>0</x:v>
      </x:c>
      <x:c r="V43" s="90" t="n">
        <x:v>0</x:v>
      </x:c>
      <x:c r="W43" s="91" t="n">
        <x:f>V43-U43</x:f>
        <x:v>0</x:v>
      </x:c>
      <x:c r="X43" s="90" t="n">
        <x:v>0</x:v>
      </x:c>
      <x:c r="Y43" s="90" t="n">
        <x:v>0</x:v>
      </x:c>
      <x:c r="Z43" s="91" t="n">
        <x:f>Y43-X43</x:f>
        <x:v>0</x:v>
      </x:c>
    </x:row>
    <x:row r="44" ht="19" customHeight="1">
      <x:c r="A44" s="36" t="n">
        <x:v>1988</x:v>
      </x:c>
      <x:c r="B44" s="88" t="n">
        <x:v>32387</x:v>
      </x:c>
      <x:c r="C44" s="88" t="n">
        <x:v>32381</x:v>
      </x:c>
      <x:c r="D44" s="36" t="n">
        <x:v>0</x:v>
      </x:c>
      <x:c r="E44" s="36" t="n">
        <x:v>6</x:v>
      </x:c>
      <x:c r="F44" s="67" t="n">
        <x:v>23.5</x:v>
      </x:c>
      <x:c r="G44" s="67" t="n">
        <x:v>25.123958333333334</x:v>
      </x:c>
      <x:c r="H44" s="89" t="n">
        <x:f>G44-F44</x:f>
        <x:v>1.6239583333333343</x:v>
      </x:c>
      <x:c r="I44" s="67" t="n">
        <x:v>31.3</x:v>
      </x:c>
      <x:c r="J44" s="67" t="n">
        <x:v>35.5</x:v>
      </x:c>
      <x:c r="K44" s="89" t="n">
        <x:f>J44-I44</x:f>
        <x:v>4.199999999999999</x:v>
      </x:c>
      <x:c r="L44" s="67" t="n">
        <x:v>16.5</x:v>
      </x:c>
      <x:c r="M44" s="67" t="n">
        <x:v>19.1</x:v>
      </x:c>
      <x:c r="N44" s="89" t="n">
        <x:f>M44-L44</x:f>
        <x:v>2.6000000000000014</x:v>
      </x:c>
      <x:c r="O44" s="67" t="n">
        <x:v>23.34375</x:v>
      </x:c>
      <x:c r="P44" s="67" t="n">
        <x:v>26.37291666666667</x:v>
      </x:c>
      <x:c r="Q44" s="89" t="n">
        <x:f>P44-O44</x:f>
        <x:v>3.0291666666666686</x:v>
      </x:c>
      <x:c r="R44" s="90" t="n">
        <x:v>1</x:v>
      </x:c>
      <x:c r="S44" s="90" t="n">
        <x:v>1</x:v>
      </x:c>
      <x:c r="T44" s="91" t="n">
        <x:f>S44-R44</x:f>
        <x:v>0</x:v>
      </x:c>
      <x:c r="U44" s="90" t="n">
        <x:v>0</x:v>
      </x:c>
      <x:c r="V44" s="90" t="n">
        <x:v>1</x:v>
      </x:c>
      <x:c r="W44" s="91" t="n">
        <x:f>V44-U44</x:f>
        <x:v>1</x:v>
      </x:c>
      <x:c r="X44" s="90" t="n">
        <x:v>0</x:v>
      </x:c>
      <x:c r="Y44" s="90" t="n">
        <x:v>1</x:v>
      </x:c>
      <x:c r="Z44" s="91" t="n">
        <x:f>Y44-X44</x:f>
        <x:v>1</x:v>
      </x:c>
    </x:row>
    <x:row r="45" ht="19" customHeight="1">
      <x:c r="A45" s="36" t="n">
        <x:v>1989</x:v>
      </x:c>
      <x:c r="B45" s="88" t="n">
        <x:v>32752</x:v>
      </x:c>
      <x:c r="C45" s="88" t="n">
        <x:v>32745</x:v>
      </x:c>
      <x:c r="D45" s="36" t="n">
        <x:v>0</x:v>
      </x:c>
      <x:c r="E45" s="36" t="n">
        <x:v>7</x:v>
      </x:c>
      <x:c r="F45" s="67" t="n">
        <x:v>19.302083333333332</x:v>
      </x:c>
      <x:c r="G45" s="67" t="n">
        <x:v>24.880208333333336</x:v>
      </x:c>
      <x:c r="H45" s="89" t="n">
        <x:f>G45-F45</x:f>
        <x:v>5.5781250000000036</x:v>
      </x:c>
      <x:c r="I45" s="67" t="n">
        <x:v>24.2</x:v>
      </x:c>
      <x:c r="J45" s="67" t="n">
        <x:v>33.6</x:v>
      </x:c>
      <x:c r="K45" s="89" t="n">
        <x:f>J45-I45</x:f>
        <x:v>9.400000000000002</x:v>
      </x:c>
      <x:c r="L45" s="67" t="n">
        <x:v>15.2</x:v>
      </x:c>
      <x:c r="M45" s="67" t="n">
        <x:v>18.9</x:v>
      </x:c>
      <x:c r="N45" s="89" t="n">
        <x:f>M45-L45</x:f>
        <x:v>3.6999999999999993</x:v>
      </x:c>
      <x:c r="O45" s="67" t="n">
        <x:v>20.261458333333334</x:v>
      </x:c>
      <x:c r="P45" s="67" t="n">
        <x:v>26.229166666666664</x:v>
      </x:c>
      <x:c r="Q45" s="89" t="n">
        <x:f>P45-O45</x:f>
        <x:v>5.967708333333331</x:v>
      </x:c>
      <x:c r="R45" s="90" t="n">
        <x:v>0</x:v>
      </x:c>
      <x:c r="S45" s="90" t="n">
        <x:v>1</x:v>
      </x:c>
      <x:c r="T45" s="91" t="n">
        <x:f>S45-R45</x:f>
        <x:v>1</x:v>
      </x:c>
      <x:c r="U45" s="90" t="n">
        <x:v>0</x:v>
      </x:c>
      <x:c r="V45" s="90" t="n">
        <x:v>1</x:v>
      </x:c>
      <x:c r="W45" s="91" t="n">
        <x:f>V45-U45</x:f>
        <x:v>1</x:v>
      </x:c>
      <x:c r="X45" s="90" t="n">
        <x:v>0</x:v>
      </x:c>
      <x:c r="Y45" s="90" t="n">
        <x:v>0</x:v>
      </x:c>
      <x:c r="Z45" s="91" t="n">
        <x:f>Y45-X45</x:f>
        <x:v>0</x:v>
      </x:c>
    </x:row>
    <x:row r="46" ht="19" customHeight="1">
      <x:c r="A46" s="36" t="n">
        <x:v>1990</x:v>
      </x:c>
      <x:c r="B46" s="88" t="n">
        <x:v>33117</x:v>
      </x:c>
      <x:c r="C46" s="88" t="n">
        <x:v>33116</x:v>
      </x:c>
      <x:c r="D46" s="36" t="n">
        <x:v>3</x:v>
      </x:c>
      <x:c r="E46" s="36" t="n">
        <x:v>1</x:v>
      </x:c>
      <x:c r="F46" s="67" t="n">
        <x:v>21.753124999999997</x:v>
      </x:c>
      <x:c r="G46" s="67" t="n">
        <x:v>21.15833333333333</x:v>
      </x:c>
      <x:c r="H46" s="89" t="n">
        <x:f>G46-F46</x:f>
        <x:v>-0.5947916666666657</x:v>
      </x:c>
      <x:c r="I46" s="67" t="n">
        <x:v>28.7</x:v>
      </x:c>
      <x:c r="J46" s="67" t="n">
        <x:v>27.2</x:v>
      </x:c>
      <x:c r="K46" s="89" t="n">
        <x:f>J46-I46</x:f>
        <x:v>-1.5</x:v>
      </x:c>
      <x:c r="L46" s="67" t="n">
        <x:v>16.4</x:v>
      </x:c>
      <x:c r="M46" s="67" t="n">
        <x:v>16.4</x:v>
      </x:c>
      <x:c r="N46" s="89" t="n">
        <x:f>M46-L46</x:f>
        <x:v>0</x:v>
      </x:c>
      <x:c r="O46" s="67" t="n">
        <x:v>23.164583333333333</x:v>
      </x:c>
      <x:c r="P46" s="67" t="n">
        <x:v>22.267708333333335</x:v>
      </x:c>
      <x:c r="Q46" s="89" t="n">
        <x:f>P46-O46</x:f>
        <x:v>-0.8968749999999979</x:v>
      </x:c>
      <x:c r="R46" s="90" t="n">
        <x:v>0</x:v>
      </x:c>
      <x:c r="S46" s="90" t="n">
        <x:v>0</x:v>
      </x:c>
      <x:c r="T46" s="91" t="n">
        <x:f>S46-R46</x:f>
        <x:v>0</x:v>
      </x:c>
      <x:c r="U46" s="90" t="n">
        <x:v>0</x:v>
      </x:c>
      <x:c r="V46" s="90" t="n">
        <x:v>0</x:v>
      </x:c>
      <x:c r="W46" s="91" t="n">
        <x:f>V46-U46</x:f>
        <x:v>0</x:v>
      </x:c>
      <x:c r="X46" s="90" t="n">
        <x:v>0</x:v>
      </x:c>
      <x:c r="Y46" s="90" t="n">
        <x:v>0</x:v>
      </x:c>
      <x:c r="Z46" s="91" t="n">
        <x:f>Y46-X46</x:f>
        <x:v>0</x:v>
      </x:c>
    </x:row>
    <x:row r="47" ht="19" customHeight="1">
      <x:c r="A47" s="36" t="n">
        <x:v>1991</x:v>
      </x:c>
      <x:c r="B47" s="88" t="n">
        <x:v>33482</x:v>
      </x:c>
      <x:c r="C47" s="88" t="n">
        <x:v>33480</x:v>
      </x:c>
      <x:c r="D47" s="36" t="n">
        <x:v>2</x:v>
      </x:c>
      <x:c r="E47" s="36" t="n">
        <x:v>2</x:v>
      </x:c>
      <x:c r="F47" s="67" t="n">
        <x:v>23.278125</x:v>
      </x:c>
      <x:c r="G47" s="67" t="n">
        <x:v>25.35729166666667</x:v>
      </x:c>
      <x:c r="H47" s="89" t="n">
        <x:f>G47-F47</x:f>
        <x:v>2.0791666666666693</x:v>
      </x:c>
      <x:c r="I47" s="67" t="n">
        <x:v>30.5</x:v>
      </x:c>
      <x:c r="J47" s="67" t="n">
        <x:v>33.6</x:v>
      </x:c>
      <x:c r="K47" s="89" t="n">
        <x:f>J47-I47</x:f>
        <x:v>3.1000000000000014</x:v>
      </x:c>
      <x:c r="L47" s="67" t="n">
        <x:v>19.4</x:v>
      </x:c>
      <x:c r="M47" s="67" t="n">
        <x:v>19.5</x:v>
      </x:c>
      <x:c r="N47" s="89" t="n">
        <x:f>M47-L47</x:f>
        <x:v>0.10000000000000142</x:v>
      </x:c>
      <x:c r="O47" s="67" t="n">
        <x:v>24.329166666666666</x:v>
      </x:c>
      <x:c r="P47" s="67" t="n">
        <x:v>26.351041666666667</x:v>
      </x:c>
      <x:c r="Q47" s="89" t="n">
        <x:f>P47-O47</x:f>
        <x:v>2.0218750000000014</x:v>
      </x:c>
      <x:c r="R47" s="90" t="n">
        <x:v>1</x:v>
      </x:c>
      <x:c r="S47" s="90" t="n">
        <x:v>1</x:v>
      </x:c>
      <x:c r="T47" s="91" t="n">
        <x:f>S47-R47</x:f>
        <x:v>0</x:v>
      </x:c>
      <x:c r="U47" s="90" t="n">
        <x:v>0</x:v>
      </x:c>
      <x:c r="V47" s="90" t="n">
        <x:v>1</x:v>
      </x:c>
      <x:c r="W47" s="91" t="n">
        <x:f>V47-U47</x:f>
        <x:v>1</x:v>
      </x:c>
      <x:c r="X47" s="90" t="n">
        <x:v>0</x:v>
      </x:c>
      <x:c r="Y47" s="90" t="n">
        <x:v>0</x:v>
      </x:c>
      <x:c r="Z47" s="91" t="n">
        <x:f>Y47-X47</x:f>
        <x:v>0</x:v>
      </x:c>
    </x:row>
    <x:row r="48" ht="19" customHeight="1">
      <x:c r="A48" s="36" t="n">
        <x:v>1992</x:v>
      </x:c>
      <x:c r="B48" s="88" t="n">
        <x:v>33848</x:v>
      </x:c>
      <x:c r="C48" s="88" t="n">
        <x:v>33844</x:v>
      </x:c>
      <x:c r="D48" s="36" t="n">
        <x:v>0</x:v>
      </x:c>
      <x:c r="E48" s="36" t="n">
        <x:v>4</x:v>
      </x:c>
      <x:c r="F48" s="67" t="n">
        <x:v>21.139583333333334</x:v>
      </x:c>
      <x:c r="G48" s="67" t="n">
        <x:v>22.821875</x:v>
      </x:c>
      <x:c r="H48" s="89" t="n">
        <x:f>G48-F48</x:f>
        <x:v>1.6822916666666643</x:v>
      </x:c>
      <x:c r="I48" s="67" t="n">
        <x:v>29.5</x:v>
      </x:c>
      <x:c r="J48" s="67" t="n">
        <x:v>32.9</x:v>
      </x:c>
      <x:c r="K48" s="89" t="n">
        <x:f>J48-I48</x:f>
        <x:v>3.3999999999999986</x:v>
      </x:c>
      <x:c r="L48" s="67" t="n">
        <x:v>15</x:v>
      </x:c>
      <x:c r="M48" s="67" t="n">
        <x:v>14.1</x:v>
      </x:c>
      <x:c r="N48" s="89" t="n">
        <x:f>M48-L48</x:f>
        <x:v>-0.9000000000000004</x:v>
      </x:c>
      <x:c r="O48" s="67" t="n">
        <x:v>21.304166666666667</x:v>
      </x:c>
      <x:c r="P48" s="67" t="n">
        <x:v>20.695833333333333</x:v>
      </x:c>
      <x:c r="Q48" s="89" t="n">
        <x:f>P48-O48</x:f>
        <x:v>-0.6083333333333343</x:v>
      </x:c>
      <x:c r="R48" s="90" t="n">
        <x:v>0</x:v>
      </x:c>
      <x:c r="S48" s="90" t="n">
        <x:v>1</x:v>
      </x:c>
      <x:c r="T48" s="91" t="n">
        <x:f>S48-R48</x:f>
        <x:v>1</x:v>
      </x:c>
      <x:c r="U48" s="90" t="n">
        <x:v>0</x:v>
      </x:c>
      <x:c r="V48" s="90" t="n">
        <x:v>1</x:v>
      </x:c>
      <x:c r="W48" s="91" t="n">
        <x:f>V48-U48</x:f>
        <x:v>1</x:v>
      </x:c>
      <x:c r="X48" s="90" t="n">
        <x:v>0</x:v>
      </x:c>
      <x:c r="Y48" s="90" t="n">
        <x:v>0</x:v>
      </x:c>
      <x:c r="Z48" s="91" t="n">
        <x:f>Y48-X48</x:f>
        <x:v>0</x:v>
      </x:c>
    </x:row>
    <x:row r="49" ht="19" customHeight="1">
      <x:c r="A49" s="36" t="n">
        <x:v>1993</x:v>
      </x:c>
      <x:c r="B49" s="88" t="n">
        <x:v>34213</x:v>
      </x:c>
      <x:c r="C49" s="88" t="n">
        <x:v>34208</x:v>
      </x:c>
      <x:c r="D49" s="36" t="n">
        <x:v>0</x:v>
      </x:c>
      <x:c r="E49" s="36" t="n">
        <x:v>5</x:v>
      </x:c>
      <x:c r="F49" s="67" t="n">
        <x:v>22.209375</x:v>
      </x:c>
      <x:c r="G49" s="67" t="n">
        <x:v>18.866666666666667</x:v>
      </x:c>
      <x:c r="H49" s="89" t="n">
        <x:f>G49-F49</x:f>
        <x:v>-3.3427083333333343</x:v>
      </x:c>
      <x:c r="I49" s="67" t="n">
        <x:v>30.8</x:v>
      </x:c>
      <x:c r="J49" s="67" t="n">
        <x:v>25</x:v>
      </x:c>
      <x:c r="K49" s="89" t="n">
        <x:f>J49-I49</x:f>
        <x:v>-5.800000000000001</x:v>
      </x:c>
      <x:c r="L49" s="67" t="n">
        <x:v>14.7</x:v>
      </x:c>
      <x:c r="M49" s="67" t="n">
        <x:v>14</x:v>
      </x:c>
      <x:c r="N49" s="89" t="n">
        <x:f>M49-L49</x:f>
        <x:v>-0.6999999999999993</x:v>
      </x:c>
      <x:c r="O49" s="67" t="n">
        <x:v>22.265625</x:v>
      </x:c>
      <x:c r="P49" s="67" t="n">
        <x:v>17.418750000000003</x:v>
      </x:c>
      <x:c r="Q49" s="89" t="n">
        <x:f>P49-O49</x:f>
        <x:v>-4.846874999999997</x:v>
      </x:c>
      <x:c r="R49" s="90" t="n">
        <x:v>1</x:v>
      </x:c>
      <x:c r="S49" s="90" t="n">
        <x:v>0</x:v>
      </x:c>
      <x:c r="T49" s="91" t="n">
        <x:f>S49-R49</x:f>
        <x:v>-1</x:v>
      </x:c>
      <x:c r="U49" s="90" t="n">
        <x:v>0</x:v>
      </x:c>
      <x:c r="V49" s="90" t="n">
        <x:v>0</x:v>
      </x:c>
      <x:c r="W49" s="91" t="n">
        <x:f>V49-U49</x:f>
        <x:v>0</x:v>
      </x:c>
      <x:c r="X49" s="90" t="n">
        <x:v>0</x:v>
      </x:c>
      <x:c r="Y49" s="90" t="n">
        <x:v>0</x:v>
      </x:c>
      <x:c r="Z49" s="91" t="n">
        <x:f>Y49-X49</x:f>
        <x:v>0</x:v>
      </x:c>
    </x:row>
    <x:row r="50" ht="19" customHeight="1">
      <x:c r="A50" s="36" t="n">
        <x:v>1994</x:v>
      </x:c>
      <x:c r="B50" s="88" t="n">
        <x:v>34578</x:v>
      </x:c>
      <x:c r="C50" s="88" t="n">
        <x:v>34572</x:v>
      </x:c>
      <x:c r="D50" s="36" t="n">
        <x:v>0</x:v>
      </x:c>
      <x:c r="E50" s="36" t="n">
        <x:v>6</x:v>
      </x:c>
      <x:c r="F50" s="67" t="n">
        <x:v>22.716666666666665</x:v>
      </x:c>
      <x:c r="G50" s="67" t="n">
        <x:v>25.92291666666667</x:v>
      </x:c>
      <x:c r="H50" s="89" t="n">
        <x:f>G50-F50</x:f>
        <x:v>3.2062500000000043</x:v>
      </x:c>
      <x:c r="I50" s="67" t="n">
        <x:v>28.5</x:v>
      </x:c>
      <x:c r="J50" s="67" t="n">
        <x:v>34.6</x:v>
      </x:c>
      <x:c r="K50" s="89" t="n">
        <x:f>J50-I50</x:f>
        <x:v>6.100000000000001</x:v>
      </x:c>
      <x:c r="L50" s="67" t="n">
        <x:v>17.1</x:v>
      </x:c>
      <x:c r="M50" s="67" t="n">
        <x:v>19.4</x:v>
      </x:c>
      <x:c r="N50" s="89" t="n">
        <x:f>M50-L50</x:f>
        <x:v>2.299999999999997</x:v>
      </x:c>
      <x:c r="O50" s="67" t="n">
        <x:v>23.5875</x:v>
      </x:c>
      <x:c r="P50" s="67" t="n">
        <x:v>26.54895833333333</x:v>
      </x:c>
      <x:c r="Q50" s="89" t="n">
        <x:f>P50-O50</x:f>
        <x:v>2.961458333333333</x:v>
      </x:c>
      <x:c r="R50" s="90" t="n">
        <x:v>0</x:v>
      </x:c>
      <x:c r="S50" s="90" t="n">
        <x:v>1</x:v>
      </x:c>
      <x:c r="T50" s="91" t="n">
        <x:f>S50-R50</x:f>
        <x:v>1</x:v>
      </x:c>
      <x:c r="U50" s="90" t="n">
        <x:v>0</x:v>
      </x:c>
      <x:c r="V50" s="90" t="n">
        <x:v>1</x:v>
      </x:c>
      <x:c r="W50" s="91" t="n">
        <x:f>V50-U50</x:f>
        <x:v>1</x:v>
      </x:c>
      <x:c r="X50" s="90" t="n">
        <x:v>0</x:v>
      </x:c>
      <x:c r="Y50" s="90" t="n">
        <x:v>0</x:v>
      </x:c>
      <x:c r="Z50" s="91" t="n">
        <x:f>Y50-X50</x:f>
        <x:v>0</x:v>
      </x:c>
    </x:row>
    <x:row r="51" ht="19" customHeight="1">
      <x:c r="A51" s="36" t="n">
        <x:v>1995</x:v>
      </x:c>
      <x:c r="B51" s="88" t="n">
        <x:v>34943</x:v>
      </x:c>
      <x:c r="C51" s="88" t="n">
        <x:v>34936</x:v>
      </x:c>
      <x:c r="D51" s="36" t="n">
        <x:v>0</x:v>
      </x:c>
      <x:c r="E51" s="36" t="n">
        <x:v>7</x:v>
      </x:c>
      <x:c r="F51" s="67" t="n">
        <x:v>22.964583333333334</x:v>
      </x:c>
      <x:c r="G51" s="67" t="n">
        <x:v>21.985416666666666</x:v>
      </x:c>
      <x:c r="H51" s="89" t="n">
        <x:f>G51-F51</x:f>
        <x:v>-0.9791666666666679</x:v>
      </x:c>
      <x:c r="I51" s="67" t="n">
        <x:v>30</x:v>
      </x:c>
      <x:c r="J51" s="67" t="n">
        <x:v>31.1</x:v>
      </x:c>
      <x:c r="K51" s="89" t="n">
        <x:f>J51-I51</x:f>
        <x:v>1.1000000000000014</x:v>
      </x:c>
      <x:c r="L51" s="67" t="n">
        <x:v>16.4</x:v>
      </x:c>
      <x:c r="M51" s="67" t="n">
        <x:v>15.5</x:v>
      </x:c>
      <x:c r="N51" s="89" t="n">
        <x:f>M51-L51</x:f>
        <x:v>-0.8999999999999986</x:v>
      </x:c>
      <x:c r="O51" s="67" t="n">
        <x:v>22.967708333333334</x:v>
      </x:c>
      <x:c r="P51" s="67" t="n">
        <x:v>22.869791666666668</x:v>
      </x:c>
      <x:c r="Q51" s="89" t="n">
        <x:f>P51-O51</x:f>
        <x:v>-0.09791666666666643</x:v>
      </x:c>
      <x:c r="R51" s="90" t="n">
        <x:v>0</x:v>
      </x:c>
      <x:c r="S51" s="90" t="n">
        <x:v>1</x:v>
      </x:c>
      <x:c r="T51" s="91" t="n">
        <x:f>S51-R51</x:f>
        <x:v>1</x:v>
      </x:c>
      <x:c r="U51" s="90" t="n">
        <x:v>0</x:v>
      </x:c>
      <x:c r="V51" s="90" t="n">
        <x:v>0</x:v>
      </x:c>
      <x:c r="W51" s="91" t="n">
        <x:f>V51-U51</x:f>
        <x:v>0</x:v>
      </x:c>
      <x:c r="X51" s="90" t="n">
        <x:v>0</x:v>
      </x:c>
      <x:c r="Y51" s="90" t="n">
        <x:v>0</x:v>
      </x:c>
      <x:c r="Z51" s="91" t="n">
        <x:f>Y51-X51</x:f>
        <x:v>0</x:v>
      </x:c>
    </x:row>
    <x:row r="52" ht="19" customHeight="1">
      <x:c r="A52" s="36" t="n">
        <x:v>1996</x:v>
      </x:c>
      <x:c r="B52" s="88" t="n">
        <x:v>35309</x:v>
      </x:c>
      <x:c r="C52" s="88" t="n">
        <x:v>35307</x:v>
      </x:c>
      <x:c r="D52" s="36" t="n">
        <x:v>2</x:v>
      </x:c>
      <x:c r="E52" s="36" t="n">
        <x:v>2</x:v>
      </x:c>
      <x:c r="F52" s="67" t="n">
        <x:v>17.565625</x:v>
      </x:c>
      <x:c r="G52" s="67" t="n">
        <x:v>17.710416666666667</x:v>
      </x:c>
      <x:c r="H52" s="89" t="n">
        <x:f>G52-F52</x:f>
        <x:v>0.14479166666666643</x:v>
      </x:c>
      <x:c r="I52" s="67" t="n">
        <x:v>23.9</x:v>
      </x:c>
      <x:c r="J52" s="67" t="n">
        <x:v>23.9</x:v>
      </x:c>
      <x:c r="K52" s="89" t="n">
        <x:f>J52-I52</x:f>
        <x:v>0</x:v>
      </x:c>
      <x:c r="L52" s="67" t="n">
        <x:v>13.8</x:v>
      </x:c>
      <x:c r="M52" s="67" t="n">
        <x:v>12.1</x:v>
      </x:c>
      <x:c r="N52" s="89" t="n">
        <x:f>M52-L52</x:f>
        <x:v>-1.700000000000001</x:v>
      </x:c>
      <x:c r="O52" s="67" t="n">
        <x:v>17.275</x:v>
      </x:c>
      <x:c r="P52" s="67" t="n">
        <x:v>16.965625</x:v>
      </x:c>
      <x:c r="Q52" s="89" t="n">
        <x:f>P52-O52</x:f>
        <x:v>-0.3093749999999993</x:v>
      </x:c>
      <x:c r="R52" s="90" t="n">
        <x:v>0</x:v>
      </x:c>
      <x:c r="S52" s="90" t="n">
        <x:v>0</x:v>
      </x:c>
      <x:c r="T52" s="91" t="n">
        <x:f>S52-R52</x:f>
        <x:v>0</x:v>
      </x:c>
      <x:c r="U52" s="90" t="n">
        <x:v>0</x:v>
      </x:c>
      <x:c r="V52" s="90" t="n">
        <x:v>0</x:v>
      </x:c>
      <x:c r="W52" s="91" t="n">
        <x:f>V52-U52</x:f>
        <x:v>0</x:v>
      </x:c>
      <x:c r="X52" s="90" t="n">
        <x:v>0</x:v>
      </x:c>
      <x:c r="Y52" s="90" t="n">
        <x:v>0</x:v>
      </x:c>
      <x:c r="Z52" s="91" t="n">
        <x:f>Y52-X52</x:f>
        <x:v>0</x:v>
      </x:c>
    </x:row>
    <x:row r="53" ht="19" customHeight="1">
      <x:c r="A53" s="36" t="n">
        <x:v>1997</x:v>
      </x:c>
      <x:c r="B53" s="88" t="n">
        <x:v>35674</x:v>
      </x:c>
      <x:c r="C53" s="88" t="n">
        <x:v>35671</x:v>
      </x:c>
      <x:c r="D53" s="36" t="n">
        <x:v>1</x:v>
      </x:c>
      <x:c r="E53" s="36" t="n">
        <x:v>3</x:v>
      </x:c>
      <x:c r="F53" s="67" t="n">
        <x:v>21.672916666666666</x:v>
      </x:c>
      <x:c r="G53" s="67" t="n">
        <x:v>21.303125</x:v>
      </x:c>
      <x:c r="H53" s="89" t="n">
        <x:f>G53-F53</x:f>
        <x:v>-0.3697916666666643</x:v>
      </x:c>
      <x:c r="I53" s="67" t="n">
        <x:v>28.3</x:v>
      </x:c>
      <x:c r="J53" s="67" t="n">
        <x:v>30.7</x:v>
      </x:c>
      <x:c r="K53" s="89" t="n">
        <x:f>J53-I53</x:f>
        <x:v>2.3999999999999986</x:v>
      </x:c>
      <x:c r="L53" s="67" t="n">
        <x:v>15.4</x:v>
      </x:c>
      <x:c r="M53" s="67" t="n">
        <x:v>13.6</x:v>
      </x:c>
      <x:c r="N53" s="89" t="n">
        <x:f>M53-L53</x:f>
        <x:v>-1.8000000000000007</x:v>
      </x:c>
      <x:c r="O53" s="67" t="n">
        <x:v>22.566666666666666</x:v>
      </x:c>
      <x:c r="P53" s="67" t="n">
        <x:v>20.586458333333333</x:v>
      </x:c>
      <x:c r="Q53" s="89" t="n">
        <x:f>P53-O53</x:f>
        <x:v>-1.9802083333333336</x:v>
      </x:c>
      <x:c r="R53" s="90" t="n">
        <x:v>0</x:v>
      </x:c>
      <x:c r="S53" s="90" t="n">
        <x:v>1</x:v>
      </x:c>
      <x:c r="T53" s="91" t="n">
        <x:f>S53-R53</x:f>
        <x:v>1</x:v>
      </x:c>
      <x:c r="U53" s="90" t="n">
        <x:v>0</x:v>
      </x:c>
      <x:c r="V53" s="90" t="n">
        <x:v>0</x:v>
      </x:c>
      <x:c r="W53" s="91" t="n">
        <x:f>V53-U53</x:f>
        <x:v>0</x:v>
      </x:c>
      <x:c r="X53" s="90" t="n">
        <x:v>0</x:v>
      </x:c>
      <x:c r="Y53" s="90" t="n">
        <x:v>0</x:v>
      </x:c>
      <x:c r="Z53" s="91" t="n">
        <x:f>Y53-X53</x:f>
        <x:v>0</x:v>
      </x:c>
    </x:row>
    <x:row r="54" ht="19" customHeight="1">
      <x:c r="A54" s="36" t="n">
        <x:v>1998</x:v>
      </x:c>
      <x:c r="B54" s="88" t="n">
        <x:v>36039</x:v>
      </x:c>
      <x:c r="C54" s="88" t="n">
        <x:v>36035</x:v>
      </x:c>
      <x:c r="D54" s="36" t="n">
        <x:v>0</x:v>
      </x:c>
      <x:c r="E54" s="36" t="n">
        <x:v>4</x:v>
      </x:c>
      <x:c r="F54" s="67" t="n">
        <x:v>25.26770833333333</x:v>
      </x:c>
      <x:c r="G54" s="67" t="n">
        <x:v>22.9625</x:v>
      </x:c>
      <x:c r="H54" s="89" t="n">
        <x:f>G54-F54</x:f>
        <x:v>-2.305208333333333</x:v>
      </x:c>
      <x:c r="I54" s="67" t="n">
        <x:v>32.9</x:v>
      </x:c>
      <x:c r="J54" s="67" t="n">
        <x:v>29.3</x:v>
      </x:c>
      <x:c r="K54" s="89" t="n">
        <x:f>J54-I54</x:f>
        <x:v>-3.599999999999998</x:v>
      </x:c>
      <x:c r="L54" s="67" t="n">
        <x:v>18.6</x:v>
      </x:c>
      <x:c r="M54" s="67" t="n">
        <x:v>18.1</x:v>
      </x:c>
      <x:c r="N54" s="89" t="n">
        <x:f>M54-L54</x:f>
        <x:v>-0.5</x:v>
      </x:c>
      <x:c r="O54" s="67" t="n">
        <x:v>26.446875</x:v>
      </x:c>
      <x:c r="P54" s="67" t="n">
        <x:v>24.405208333333334</x:v>
      </x:c>
      <x:c r="Q54" s="89" t="n">
        <x:f>P54-O54</x:f>
        <x:v>-2.0416666666666643</x:v>
      </x:c>
      <x:c r="R54" s="90" t="n">
        <x:v>1</x:v>
      </x:c>
      <x:c r="S54" s="90" t="n">
        <x:v>0</x:v>
      </x:c>
      <x:c r="T54" s="91" t="n">
        <x:f>S54-R54</x:f>
        <x:v>-1</x:v>
      </x:c>
      <x:c r="U54" s="90" t="n">
        <x:v>1</x:v>
      </x:c>
      <x:c r="V54" s="90" t="n">
        <x:v>0</x:v>
      </x:c>
      <x:c r="W54" s="91" t="n">
        <x:f>V54-U54</x:f>
        <x:v>-1</x:v>
      </x:c>
      <x:c r="X54" s="90" t="n">
        <x:v>0</x:v>
      </x:c>
      <x:c r="Y54" s="90" t="n">
        <x:v>0</x:v>
      </x:c>
      <x:c r="Z54" s="91" t="n">
        <x:f>Y54-X54</x:f>
        <x:v>0</x:v>
      </x:c>
    </x:row>
    <x:row r="55" ht="19" customHeight="1">
      <x:c r="A55" s="36" t="n">
        <x:v>1999</x:v>
      </x:c>
      <x:c r="B55" s="88" t="n">
        <x:v>36404</x:v>
      </x:c>
      <x:c r="C55" s="88" t="n">
        <x:v>36399</x:v>
      </x:c>
      <x:c r="D55" s="36" t="n">
        <x:v>0</x:v>
      </x:c>
      <x:c r="E55" s="36" t="n">
        <x:v>5</x:v>
      </x:c>
      <x:c r="F55" s="67" t="n">
        <x:v>24.186458333333334</x:v>
      </x:c>
      <x:c r="G55" s="67" t="n">
        <x:v>25.44375</x:v>
      </x:c>
      <x:c r="H55" s="89" t="n">
        <x:f>G55-F55</x:f>
        <x:v>1.2572916666666671</x:v>
      </x:c>
      <x:c r="I55" s="67" t="n">
        <x:v>32.6</x:v>
      </x:c>
      <x:c r="J55" s="67" t="n">
        <x:v>34</x:v>
      </x:c>
      <x:c r="K55" s="89" t="n">
        <x:f>J55-I55</x:f>
        <x:v>1.3999999999999986</x:v>
      </x:c>
      <x:c r="L55" s="67" t="n">
        <x:v>19.4</x:v>
      </x:c>
      <x:c r="M55" s="67" t="n">
        <x:v>19.3</x:v>
      </x:c>
      <x:c r="N55" s="89" t="n">
        <x:f>M55-L55</x:f>
        <x:v>-0.09999999999999787</x:v>
      </x:c>
      <x:c r="O55" s="67" t="n">
        <x:v>24.98645833333333</x:v>
      </x:c>
      <x:c r="P55" s="67" t="n">
        <x:v>26.901041666666668</x:v>
      </x:c>
      <x:c r="Q55" s="89" t="n">
        <x:f>P55-O55</x:f>
        <x:v>1.9145833333333364</x:v>
      </x:c>
      <x:c r="R55" s="90" t="n">
        <x:v>1</x:v>
      </x:c>
      <x:c r="S55" s="90" t="n">
        <x:v>1</x:v>
      </x:c>
      <x:c r="T55" s="91" t="n">
        <x:f>S55-R55</x:f>
        <x:v>0</x:v>
      </x:c>
      <x:c r="U55" s="90" t="n">
        <x:v>1</x:v>
      </x:c>
      <x:c r="V55" s="90" t="n">
        <x:v>1</x:v>
      </x:c>
      <x:c r="W55" s="91" t="n">
        <x:f>V55-U55</x:f>
        <x:v>0</x:v>
      </x:c>
      <x:c r="X55" s="90" t="n">
        <x:v>0</x:v>
      </x:c>
      <x:c r="Y55" s="90" t="n">
        <x:v>0</x:v>
      </x:c>
      <x:c r="Z55" s="91" t="n">
        <x:f>Y55-X55</x:f>
        <x:v>0</x:v>
      </x:c>
    </x:row>
    <x:row r="56" ht="19" customHeight="1">
      <x:c r="A56" s="36" t="n">
        <x:v>2000</x:v>
      </x:c>
      <x:c r="B56" s="88" t="n">
        <x:v>36770</x:v>
      </x:c>
      <x:c r="C56" s="88" t="n">
        <x:v>36763</x:v>
      </x:c>
      <x:c r="D56" s="36" t="n">
        <x:v>0</x:v>
      </x:c>
      <x:c r="E56" s="36" t="n">
        <x:v>7</x:v>
      </x:c>
      <x:c r="F56" s="67" t="n">
        <x:v>22.592708333333334</x:v>
      </x:c>
      <x:c r="G56" s="67" t="n">
        <x:v>24.681250000000002</x:v>
      </x:c>
      <x:c r="H56" s="89" t="n">
        <x:f>G56-F56</x:f>
        <x:v>2.088541666666668</x:v>
      </x:c>
      <x:c r="I56" s="67" t="n">
        <x:v>30</x:v>
      </x:c>
      <x:c r="J56" s="67" t="n">
        <x:v>32.9</x:v>
      </x:c>
      <x:c r="K56" s="89" t="n">
        <x:f>J56-I56</x:f>
        <x:v>2.8999999999999986</x:v>
      </x:c>
      <x:c r="L56" s="67" t="n">
        <x:v>13.4</x:v>
      </x:c>
      <x:c r="M56" s="67" t="n">
        <x:v>17.3</x:v>
      </x:c>
      <x:c r="N56" s="89" t="n">
        <x:f>M56-L56</x:f>
        <x:v>3.9000000000000004</x:v>
      </x:c>
      <x:c r="O56" s="67" t="n">
        <x:v>24.3</x:v>
      </x:c>
      <x:c r="P56" s="67" t="n">
        <x:v>24.5375</x:v>
      </x:c>
      <x:c r="Q56" s="89" t="n">
        <x:f>P56-O56</x:f>
        <x:v>0.2375000000000007</x:v>
      </x:c>
      <x:c r="R56" s="90" t="n">
        <x:v>0</x:v>
      </x:c>
      <x:c r="S56" s="90" t="n">
        <x:v>1</x:v>
      </x:c>
      <x:c r="T56" s="91" t="n">
        <x:f>S56-R56</x:f>
        <x:v>1</x:v>
      </x:c>
      <x:c r="U56" s="90" t="n">
        <x:v>0</x:v>
      </x:c>
      <x:c r="V56" s="90" t="n">
        <x:v>1</x:v>
      </x:c>
      <x:c r="W56" s="91" t="n">
        <x:f>V56-U56</x:f>
        <x:v>1</x:v>
      </x:c>
      <x:c r="X56" s="90" t="n">
        <x:v>0</x:v>
      </x:c>
      <x:c r="Y56" s="90" t="n">
        <x:v>0</x:v>
      </x:c>
      <x:c r="Z56" s="91" t="n">
        <x:f>Y56-X56</x:f>
        <x:v>0</x:v>
      </x:c>
    </x:row>
    <x:row r="57" ht="19" customHeight="1">
      <x:c r="A57" s="36" t="n">
        <x:v>2001</x:v>
      </x:c>
      <x:c r="B57" s="88" t="n">
        <x:v>37135</x:v>
      </x:c>
      <x:c r="C57" s="88" t="n">
        <x:v>37134</x:v>
      </x:c>
      <x:c r="D57" s="36" t="n">
        <x:v>3</x:v>
      </x:c>
      <x:c r="E57" s="36" t="n">
        <x:v>1</x:v>
      </x:c>
      <x:c r="F57" s="67" t="n">
        <x:v>21.646875</x:v>
      </x:c>
      <x:c r="G57" s="67" t="n">
        <x:v>21.447916666666668</x:v>
      </x:c>
      <x:c r="H57" s="89" t="n">
        <x:f>G57-F57</x:f>
        <x:v>-0.19895833333333357</x:v>
      </x:c>
      <x:c r="I57" s="67" t="n">
        <x:v>30.7</x:v>
      </x:c>
      <x:c r="J57" s="67" t="n">
        <x:v>26.9</x:v>
      </x:c>
      <x:c r="K57" s="89" t="n">
        <x:f>J57-I57</x:f>
        <x:v>-3.8000000000000007</x:v>
      </x:c>
      <x:c r="L57" s="67" t="n">
        <x:v>16.1</x:v>
      </x:c>
      <x:c r="M57" s="67" t="n">
        <x:v>16.1</x:v>
      </x:c>
      <x:c r="N57" s="89" t="n">
        <x:f>M57-L57</x:f>
        <x:v>0</x:v>
      </x:c>
      <x:c r="O57" s="67" t="n">
        <x:v>22.515625</x:v>
      </x:c>
      <x:c r="P57" s="67" t="n">
        <x:v>22.292708333333334</x:v>
      </x:c>
      <x:c r="Q57" s="89" t="n">
        <x:f>P57-O57</x:f>
        <x:v>-0.22291666666666643</x:v>
      </x:c>
      <x:c r="R57" s="90" t="n">
        <x:v>1</x:v>
      </x:c>
      <x:c r="S57" s="90" t="n">
        <x:v>0</x:v>
      </x:c>
      <x:c r="T57" s="91" t="n">
        <x:f>S57-R57</x:f>
        <x:v>-1</x:v>
      </x:c>
      <x:c r="U57" s="90" t="n">
        <x:v>0</x:v>
      </x:c>
      <x:c r="V57" s="90" t="n">
        <x:v>0</x:v>
      </x:c>
      <x:c r="W57" s="91" t="n">
        <x:f>V57-U57</x:f>
        <x:v>0</x:v>
      </x:c>
      <x:c r="X57" s="90" t="n">
        <x:v>0</x:v>
      </x:c>
      <x:c r="Y57" s="90" t="n">
        <x:v>0</x:v>
      </x:c>
      <x:c r="Z57" s="91" t="n">
        <x:f>Y57-X57</x:f>
        <x:v>0</x:v>
      </x:c>
    </x:row>
    <x:row r="58" ht="19" customHeight="1">
      <x:c r="A58" s="36" t="n">
        <x:v>2002</x:v>
      </x:c>
      <x:c r="B58" s="88" t="n">
        <x:v>37500</x:v>
      </x:c>
      <x:c r="C58" s="88" t="n">
        <x:v>37498</x:v>
      </x:c>
      <x:c r="D58" s="36" t="n">
        <x:v>2</x:v>
      </x:c>
      <x:c r="E58" s="36" t="n">
        <x:v>2</x:v>
      </x:c>
      <x:c r="F58" s="67" t="n">
        <x:v>21.72083333333333</x:v>
      </x:c>
      <x:c r="G58" s="67" t="n">
        <x:v>21.291666666666668</x:v>
      </x:c>
      <x:c r="H58" s="89" t="n">
        <x:f>G58-F58</x:f>
        <x:v>-0.4291666666666636</x:v>
      </x:c>
      <x:c r="I58" s="67" t="n">
        <x:v>28.5</x:v>
      </x:c>
      <x:c r="J58" s="67" t="n">
        <x:v>28.3</x:v>
      </x:c>
      <x:c r="K58" s="89" t="n">
        <x:f>J58-I58</x:f>
        <x:v>-0.1999999999999993</x:v>
      </x:c>
      <x:c r="L58" s="67" t="n">
        <x:v>15.8</x:v>
      </x:c>
      <x:c r="M58" s="67" t="n">
        <x:v>15.7</x:v>
      </x:c>
      <x:c r="N58" s="89" t="n">
        <x:f>M58-L58</x:f>
        <x:v>-0.10000000000000142</x:v>
      </x:c>
      <x:c r="O58" s="67" t="n">
        <x:v>22.258333333333333</x:v>
      </x:c>
      <x:c r="P58" s="67" t="n">
        <x:v>22.16979166666667</x:v>
      </x:c>
      <x:c r="Q58" s="89" t="n">
        <x:f>P58-O58</x:f>
        <x:v>-0.0885416666666643</x:v>
      </x:c>
      <x:c r="R58" s="90" t="n">
        <x:v>0</x:v>
      </x:c>
      <x:c r="S58" s="90" t="n">
        <x:v>0</x:v>
      </x:c>
      <x:c r="T58" s="91" t="n">
        <x:f>S58-R58</x:f>
        <x:v>0</x:v>
      </x:c>
      <x:c r="U58" s="90" t="n">
        <x:v>0</x:v>
      </x:c>
      <x:c r="V58" s="90" t="n">
        <x:v>0</x:v>
      </x:c>
      <x:c r="W58" s="91" t="n">
        <x:f>V58-U58</x:f>
        <x:v>0</x:v>
      </x:c>
      <x:c r="X58" s="90" t="n">
        <x:v>0</x:v>
      </x:c>
      <x:c r="Y58" s="90" t="n">
        <x:v>0</x:v>
      </x:c>
      <x:c r="Z58" s="91" t="n">
        <x:f>Y58-X58</x:f>
        <x:v>0</x:v>
      </x:c>
    </x:row>
    <x:row r="59" ht="19" customHeight="1">
      <x:c r="A59" s="36" t="n">
        <x:v>2003</x:v>
      </x:c>
      <x:c r="B59" s="88" t="n">
        <x:v>37865</x:v>
      </x:c>
      <x:c r="C59" s="88" t="n">
        <x:v>37862</x:v>
      </x:c>
      <x:c r="D59" s="36" t="n">
        <x:v>1</x:v>
      </x:c>
      <x:c r="E59" s="36" t="n">
        <x:v>3</x:v>
      </x:c>
      <x:c r="F59" s="67" t="n">
        <x:v>21.919791666666665</x:v>
      </x:c>
      <x:c r="G59" s="67" t="n">
        <x:v>24.339583333333334</x:v>
      </x:c>
      <x:c r="H59" s="89" t="n">
        <x:f>G59-F59</x:f>
        <x:v>2.4197916666666686</x:v>
      </x:c>
      <x:c r="I59" s="67" t="n">
        <x:v>30.9</x:v>
      </x:c>
      <x:c r="J59" s="67" t="n">
        <x:v>31.8</x:v>
      </x:c>
      <x:c r="K59" s="89" t="n">
        <x:f>J59-I59</x:f>
        <x:v>0.9000000000000021</x:v>
      </x:c>
      <x:c r="L59" s="67" t="n">
        <x:v>17.4</x:v>
      </x:c>
      <x:c r="M59" s="67" t="n">
        <x:v>17.7</x:v>
      </x:c>
      <x:c r="N59" s="89" t="n">
        <x:f>M59-L59</x:f>
        <x:v>0.3000000000000007</x:v>
      </x:c>
      <x:c r="O59" s="67" t="n">
        <x:v>23.266666666666666</x:v>
      </x:c>
      <x:c r="P59" s="67" t="n">
        <x:v>23.96458333333333</x:v>
      </x:c>
      <x:c r="Q59" s="89" t="n">
        <x:f>P59-O59</x:f>
        <x:v>0.6979166666666643</x:v>
      </x:c>
      <x:c r="R59" s="90" t="n">
        <x:v>1</x:v>
      </x:c>
      <x:c r="S59" s="90" t="n">
        <x:v>1</x:v>
      </x:c>
      <x:c r="T59" s="91" t="n">
        <x:f>S59-R59</x:f>
        <x:v>0</x:v>
      </x:c>
      <x:c r="U59" s="90" t="n">
        <x:v>0</x:v>
      </x:c>
      <x:c r="V59" s="90" t="n">
        <x:v>0</x:v>
      </x:c>
      <x:c r="W59" s="91" t="n">
        <x:f>V59-U59</x:f>
        <x:v>0</x:v>
      </x:c>
      <x:c r="X59" s="90" t="n">
        <x:v>0</x:v>
      </x:c>
      <x:c r="Y59" s="90" t="n">
        <x:v>0</x:v>
      </x:c>
      <x:c r="Z59" s="91" t="n">
        <x:f>Y59-X59</x:f>
        <x:v>0</x:v>
      </x:c>
    </x:row>
    <x:row r="60" ht="19" customHeight="1">
      <x:c r="A60" s="36" t="n">
        <x:v>2004</x:v>
      </x:c>
      <x:c r="B60" s="88" t="n">
        <x:v>38231</x:v>
      </x:c>
      <x:c r="C60" s="88" t="n">
        <x:v>38226</x:v>
      </x:c>
      <x:c r="D60" s="36" t="n">
        <x:v>0</x:v>
      </x:c>
      <x:c r="E60" s="36" t="n">
        <x:v>5</x:v>
      </x:c>
      <x:c r="F60" s="67" t="n">
        <x:v>21.711458333333333</x:v>
      </x:c>
      <x:c r="G60" s="67" t="n">
        <x:v>22.496875</x:v>
      </x:c>
      <x:c r="H60" s="89" t="n">
        <x:f>G60-F60</x:f>
        <x:v>0.7854166666666664</x:v>
      </x:c>
      <x:c r="I60" s="67" t="n">
        <x:v>27.6</x:v>
      </x:c>
      <x:c r="J60" s="67" t="n">
        <x:v>28.4</x:v>
      </x:c>
      <x:c r="K60" s="89" t="n">
        <x:f>J60-I60</x:f>
        <x:v>0.7999999999999972</x:v>
      </x:c>
      <x:c r="L60" s="67" t="n">
        <x:v>16.9</x:v>
      </x:c>
      <x:c r="M60" s="67" t="n">
        <x:v>18.4</x:v>
      </x:c>
      <x:c r="N60" s="89" t="n">
        <x:f>M60-L60</x:f>
        <x:v>1.5</x:v>
      </x:c>
      <x:c r="O60" s="67" t="n">
        <x:v>22.915625</x:v>
      </x:c>
      <x:c r="P60" s="67" t="n">
        <x:v>24.452083333333334</x:v>
      </x:c>
      <x:c r="Q60" s="89" t="n">
        <x:f>P60-O60</x:f>
        <x:v>1.5364583333333357</x:v>
      </x:c>
      <x:c r="R60" s="90" t="n">
        <x:v>0</x:v>
      </x:c>
      <x:c r="S60" s="90" t="n">
        <x:v>0</x:v>
      </x:c>
      <x:c r="T60" s="91" t="n">
        <x:f>S60-R60</x:f>
        <x:v>0</x:v>
      </x:c>
      <x:c r="U60" s="90" t="n">
        <x:v>0</x:v>
      </x:c>
      <x:c r="V60" s="90" t="n">
        <x:v>0</x:v>
      </x:c>
      <x:c r="W60" s="91" t="n">
        <x:f>V60-U60</x:f>
        <x:v>0</x:v>
      </x:c>
      <x:c r="X60" s="90" t="n">
        <x:v>0</x:v>
      </x:c>
      <x:c r="Y60" s="90" t="n">
        <x:v>0</x:v>
      </x:c>
      <x:c r="Z60" s="91" t="n">
        <x:f>Y60-X60</x:f>
        <x:v>0</x:v>
      </x:c>
    </x:row>
    <x:row r="61" ht="19" customHeight="1">
      <x:c r="A61" s="36" t="n">
        <x:v>2005</x:v>
      </x:c>
      <x:c r="B61" s="88" t="n">
        <x:v>38596</x:v>
      </x:c>
      <x:c r="C61" s="88" t="n">
        <x:v>38590</x:v>
      </x:c>
      <x:c r="D61" s="36" t="n">
        <x:v>0</x:v>
      </x:c>
      <x:c r="E61" s="36" t="n">
        <x:v>6</x:v>
      </x:c>
      <x:c r="F61" s="67" t="n">
        <x:v>23.361458333333335</x:v>
      </x:c>
      <x:c r="G61" s="67" t="n">
        <x:v>23.546875</x:v>
      </x:c>
      <x:c r="H61" s="89" t="n">
        <x:f>G61-F61</x:f>
        <x:v>0.185416666666665</x:v>
      </x:c>
      <x:c r="I61" s="67" t="n">
        <x:v>32</x:v>
      </x:c>
      <x:c r="J61" s="67" t="n">
        <x:v>32.2</x:v>
      </x:c>
      <x:c r="K61" s="89" t="n">
        <x:f>J61-I61</x:f>
        <x:v>0.20000000000000284</x:v>
      </x:c>
      <x:c r="L61" s="67" t="n">
        <x:v>17</x:v>
      </x:c>
      <x:c r="M61" s="67" t="n">
        <x:v>18.4</x:v>
      </x:c>
      <x:c r="N61" s="89" t="n">
        <x:f>M61-L61</x:f>
        <x:v>1.3999999999999986</x:v>
      </x:c>
      <x:c r="O61" s="67" t="n">
        <x:v>23.998958333333334</x:v>
      </x:c>
      <x:c r="P61" s="67" t="n">
        <x:v>24.869791666666668</x:v>
      </x:c>
      <x:c r="Q61" s="89" t="n">
        <x:f>P61-O61</x:f>
        <x:v>0.8708333333333336</x:v>
      </x:c>
      <x:c r="R61" s="90" t="n">
        <x:v>1</x:v>
      </x:c>
      <x:c r="S61" s="90" t="n">
        <x:v>1</x:v>
      </x:c>
      <x:c r="T61" s="91" t="n">
        <x:f>S61-R61</x:f>
        <x:v>0</x:v>
      </x:c>
      <x:c r="U61" s="90" t="n">
        <x:v>0</x:v>
      </x:c>
      <x:c r="V61" s="90" t="n">
        <x:v>1</x:v>
      </x:c>
      <x:c r="W61" s="91" t="n">
        <x:f>V61-U61</x:f>
        <x:v>1</x:v>
      </x:c>
      <x:c r="X61" s="90" t="n">
        <x:v>0</x:v>
      </x:c>
      <x:c r="Y61" s="90" t="n">
        <x:v>0</x:v>
      </x:c>
      <x:c r="Z61" s="91" t="n">
        <x:f>Y61-X61</x:f>
        <x:v>0</x:v>
      </x:c>
    </x:row>
    <x:row r="62" ht="19" customHeight="1">
      <x:c r="A62" s="36" t="n">
        <x:v>2006</x:v>
      </x:c>
      <x:c r="B62" s="88" t="n">
        <x:v>38961</x:v>
      </x:c>
      <x:c r="C62" s="88" t="n">
        <x:v>38954</x:v>
      </x:c>
      <x:c r="D62" s="36" t="n">
        <x:v>0</x:v>
      </x:c>
      <x:c r="E62" s="36" t="n">
        <x:v>7</x:v>
      </x:c>
      <x:c r="F62" s="67" t="n">
        <x:v>24.019791666666666</x:v>
      </x:c>
      <x:c r="G62" s="67" t="n">
        <x:v>23.1375</x:v>
      </x:c>
      <x:c r="H62" s="89" t="n">
        <x:f>G62-F62</x:f>
        <x:v>-0.8822916666666671</x:v>
      </x:c>
      <x:c r="I62" s="67" t="n">
        <x:v>31.5</x:v>
      </x:c>
      <x:c r="J62" s="67" t="n">
        <x:v>32.2</x:v>
      </x:c>
      <x:c r="K62" s="89" t="n">
        <x:f>J62-I62</x:f>
        <x:v>0.7000000000000028</x:v>
      </x:c>
      <x:c r="L62" s="67" t="n">
        <x:v>18</x:v>
      </x:c>
      <x:c r="M62" s="67" t="n">
        <x:v>17.4</x:v>
      </x:c>
      <x:c r="N62" s="89" t="n">
        <x:f>M62-L62</x:f>
        <x:v>-0.6000000000000014</x:v>
      </x:c>
      <x:c r="O62" s="67" t="n">
        <x:v>25.383333333333333</x:v>
      </x:c>
      <x:c r="P62" s="67" t="n">
        <x:v>23.9875</x:v>
      </x:c>
      <x:c r="Q62" s="89" t="n">
        <x:f>P62-O62</x:f>
        <x:v>-1.3958333333333321</x:v>
      </x:c>
      <x:c r="R62" s="90" t="n">
        <x:v>1</x:v>
      </x:c>
      <x:c r="S62" s="90" t="n">
        <x:v>1</x:v>
      </x:c>
      <x:c r="T62" s="91" t="n">
        <x:f>S62-R62</x:f>
        <x:v>0</x:v>
      </x:c>
      <x:c r="U62" s="90" t="n">
        <x:v>0</x:v>
      </x:c>
      <x:c r="V62" s="90" t="n">
        <x:v>1</x:v>
      </x:c>
      <x:c r="W62" s="91" t="n">
        <x:f>V62-U62</x:f>
        <x:v>1</x:v>
      </x:c>
      <x:c r="X62" s="90" t="n">
        <x:v>0</x:v>
      </x:c>
      <x:c r="Y62" s="90" t="n">
        <x:v>0</x:v>
      </x:c>
      <x:c r="Z62" s="91" t="n">
        <x:f>Y62-X62</x:f>
        <x:v>0</x:v>
      </x:c>
    </x:row>
    <x:row r="63" ht="19" customHeight="1">
      <x:c r="A63" s="36" t="n">
        <x:v>2007</x:v>
      </x:c>
      <x:c r="B63" s="88" t="n">
        <x:v>39326</x:v>
      </x:c>
      <x:c r="C63" s="88" t="n">
        <x:v>39325</x:v>
      </x:c>
      <x:c r="D63" s="36" t="n">
        <x:v>3</x:v>
      </x:c>
      <x:c r="E63" s="36" t="n">
        <x:v>1</x:v>
      </x:c>
      <x:c r="F63" s="67" t="n">
        <x:v>20.723958333333336</x:v>
      </x:c>
      <x:c r="G63" s="67" t="n">
        <x:v>20.428125</x:v>
      </x:c>
      <x:c r="H63" s="89" t="n">
        <x:f>G63-F63</x:f>
        <x:v>-0.2958333333333343</x:v>
      </x:c>
      <x:c r="I63" s="67" t="n">
        <x:v>28.3</x:v>
      </x:c>
      <x:c r="J63" s="67" t="n">
        <x:v>27.5</x:v>
      </x:c>
      <x:c r="K63" s="89" t="n">
        <x:f>J63-I63</x:f>
        <x:v>-0.8000000000000007</x:v>
      </x:c>
      <x:c r="L63" s="67" t="n">
        <x:v>14.1</x:v>
      </x:c>
      <x:c r="M63" s="67" t="n">
        <x:v>14.1</x:v>
      </x:c>
      <x:c r="N63" s="89" t="n">
        <x:f>M63-L63</x:f>
        <x:v>0</x:v>
      </x:c>
      <x:c r="O63" s="67" t="n">
        <x:v>20.908333333333335</x:v>
      </x:c>
      <x:c r="P63" s="67" t="n">
        <x:v>20.960416666666667</x:v>
      </x:c>
      <x:c r="Q63" s="89" t="n">
        <x:f>P63-O63</x:f>
        <x:v>0.05208333333333215</x:v>
      </x:c>
      <x:c r="R63" s="90" t="n">
        <x:v>0</x:v>
      </x:c>
      <x:c r="S63" s="90" t="n">
        <x:v>0</x:v>
      </x:c>
      <x:c r="T63" s="91" t="n">
        <x:f>S63-R63</x:f>
        <x:v>0</x:v>
      </x:c>
      <x:c r="U63" s="90" t="n">
        <x:v>0</x:v>
      </x:c>
      <x:c r="V63" s="90" t="n">
        <x:v>0</x:v>
      </x:c>
      <x:c r="W63" s="91" t="n">
        <x:f>V63-U63</x:f>
        <x:v>0</x:v>
      </x:c>
      <x:c r="X63" s="90" t="n">
        <x:v>0</x:v>
      </x:c>
      <x:c r="Y63" s="90" t="n">
        <x:v>0</x:v>
      </x:c>
      <x:c r="Z63" s="91" t="n">
        <x:f>Y63-X63</x:f>
        <x:v>0</x:v>
      </x:c>
    </x:row>
    <x:row r="64" ht="19" customHeight="1">
      <x:c r="A64" s="36" t="n">
        <x:v>2008</x:v>
      </x:c>
      <x:c r="B64" s="88" t="n">
        <x:v>39692</x:v>
      </x:c>
      <x:c r="C64" s="88" t="n">
        <x:v>39689</x:v>
      </x:c>
      <x:c r="D64" s="36" t="n">
        <x:v>1</x:v>
      </x:c>
      <x:c r="E64" s="36" t="n">
        <x:v>3</x:v>
      </x:c>
      <x:c r="F64" s="67" t="n">
        <x:v>23.584375</x:v>
      </x:c>
      <x:c r="G64" s="67" t="n">
        <x:v>23.00625</x:v>
      </x:c>
      <x:c r="H64" s="89" t="n">
        <x:f>G64-F64</x:f>
        <x:v>-0.578125</x:v>
      </x:c>
      <x:c r="I64" s="67" t="n">
        <x:v>31.9</x:v>
      </x:c>
      <x:c r="J64" s="67" t="n">
        <x:v>31.5</x:v>
      </x:c>
      <x:c r="K64" s="89" t="n">
        <x:f>J64-I64</x:f>
        <x:v>-0.3999999999999986</x:v>
      </x:c>
      <x:c r="L64" s="67" t="n">
        <x:v>16.4</x:v>
      </x:c>
      <x:c r="M64" s="67" t="n">
        <x:v>17.2</x:v>
      </x:c>
      <x:c r="N64" s="89" t="n">
        <x:f>M64-L64</x:f>
        <x:v>0.8000000000000007</x:v>
      </x:c>
      <x:c r="O64" s="67" t="n">
        <x:v>23.633333333333333</x:v>
      </x:c>
      <x:c r="P64" s="67" t="n">
        <x:v>23.5625</x:v>
      </x:c>
      <x:c r="Q64" s="89" t="n">
        <x:f>P64-O64</x:f>
        <x:v>-0.07083333333333286</x:v>
      </x:c>
      <x:c r="R64" s="90" t="n">
        <x:v>1</x:v>
      </x:c>
      <x:c r="S64" s="90" t="n">
        <x:v>1</x:v>
      </x:c>
      <x:c r="T64" s="91" t="n">
        <x:f>S64-R64</x:f>
        <x:v>0</x:v>
      </x:c>
      <x:c r="U64" s="90" t="n">
        <x:v>0</x:v>
      </x:c>
      <x:c r="V64" s="90" t="n">
        <x:v>0</x:v>
      </x:c>
      <x:c r="W64" s="91" t="n">
        <x:f>V64-U64</x:f>
        <x:v>0</x:v>
      </x:c>
      <x:c r="X64" s="90" t="n">
        <x:v>0</x:v>
      </x:c>
      <x:c r="Y64" s="90" t="n">
        <x:v>0</x:v>
      </x:c>
      <x:c r="Z64" s="91" t="n">
        <x:f>Y64-X64</x:f>
        <x:v>0</x:v>
      </x:c>
    </x:row>
    <x:row r="65" ht="19" customHeight="1">
      <x:c r="A65" s="36" t="n">
        <x:v>2009</x:v>
      </x:c>
      <x:c r="B65" s="88" t="n">
        <x:v>40057</x:v>
      </x:c>
      <x:c r="C65" s="88" t="n">
        <x:v>40053</x:v>
      </x:c>
      <x:c r="D65" s="36" t="n">
        <x:v>0</x:v>
      </x:c>
      <x:c r="E65" s="36" t="n">
        <x:v>4</x:v>
      </x:c>
      <x:c r="F65" s="67" t="n">
        <x:v>25.671875</x:v>
      </x:c>
      <x:c r="G65" s="67" t="n">
        <x:v>24.305208333333333</x:v>
      </x:c>
      <x:c r="H65" s="89" t="n">
        <x:f>G65-F65</x:f>
        <x:v>-1.3666666666666671</x:v>
      </x:c>
      <x:c r="I65" s="67" t="n">
        <x:v>34.7</x:v>
      </x:c>
      <x:c r="J65" s="67" t="n">
        <x:v>31.8</x:v>
      </x:c>
      <x:c r="K65" s="89" t="n">
        <x:f>J65-I65</x:f>
        <x:v>-2.900000000000002</x:v>
      </x:c>
      <x:c r="L65" s="67" t="n">
        <x:v>19.4</x:v>
      </x:c>
      <x:c r="M65" s="67" t="n">
        <x:v>18.8</x:v>
      </x:c>
      <x:c r="N65" s="89" t="n">
        <x:f>M65-L65</x:f>
        <x:v>-0.5999999999999979</x:v>
      </x:c>
      <x:c r="O65" s="67" t="n">
        <x:v>26.182291666666664</x:v>
      </x:c>
      <x:c r="P65" s="67" t="n">
        <x:v>26.188541666666666</x:v>
      </x:c>
      <x:c r="Q65" s="89" t="n">
        <x:f>P65-O65</x:f>
        <x:v>0.006250000000001421</x:v>
      </x:c>
      <x:c r="R65" s="90" t="n">
        <x:v>1</x:v>
      </x:c>
      <x:c r="S65" s="90" t="n">
        <x:v>1</x:v>
      </x:c>
      <x:c r="T65" s="91" t="n">
        <x:f>S65-R65</x:f>
        <x:v>0</x:v>
      </x:c>
      <x:c r="U65" s="90" t="n">
        <x:v>1</x:v>
      </x:c>
      <x:c r="V65" s="90" t="n">
        <x:v>0</x:v>
      </x:c>
      <x:c r="W65" s="91" t="n">
        <x:f>V65-U65</x:f>
        <x:v>-1</x:v>
      </x:c>
      <x:c r="X65" s="90" t="n">
        <x:v>0</x:v>
      </x:c>
      <x:c r="Y65" s="90" t="n">
        <x:v>0</x:v>
      </x:c>
      <x:c r="Z65" s="91" t="n">
        <x:f>Y65-X65</x:f>
        <x:v>0</x:v>
      </x:c>
    </x:row>
    <x:row r="66" ht="19" customHeight="1">
      <x:c r="A66" s="36" t="n">
        <x:v>2010</x:v>
      </x:c>
      <x:c r="B66" s="88" t="n">
        <x:v>40422</x:v>
      </x:c>
      <x:c r="C66" s="88" t="n">
        <x:v>40417</x:v>
      </x:c>
      <x:c r="D66" s="36" t="n">
        <x:v>0</x:v>
      </x:c>
      <x:c r="E66" s="36" t="n">
        <x:v>5</x:v>
      </x:c>
      <x:c r="F66" s="67" t="n">
        <x:v>21.469791666666666</x:v>
      </x:c>
      <x:c r="G66" s="67" t="n">
        <x:v>25.688541666666666</x:v>
      </x:c>
      <x:c r="H66" s="89" t="n">
        <x:f>G66-F66</x:f>
        <x:v>4.21875</x:v>
      </x:c>
      <x:c r="I66" s="67" t="n">
        <x:v>29.7</x:v>
      </x:c>
      <x:c r="J66" s="67" t="n">
        <x:v>39.1</x:v>
      </x:c>
      <x:c r="K66" s="89" t="n">
        <x:f>J66-I66</x:f>
        <x:v>9.400000000000002</x:v>
      </x:c>
      <x:c r="L66" s="67" t="n">
        <x:v>15.8</x:v>
      </x:c>
      <x:c r="M66" s="67" t="n">
        <x:v>18.4</x:v>
      </x:c>
      <x:c r="N66" s="89" t="n">
        <x:f>M66-L66</x:f>
        <x:v>2.599999999999998</x:v>
      </x:c>
      <x:c r="O66" s="67" t="n">
        <x:v>22.071875</x:v>
      </x:c>
      <x:c r="P66" s="67" t="n">
        <x:v>26.51875</x:v>
      </x:c>
      <x:c r="Q66" s="89" t="n">
        <x:f>P66-O66</x:f>
        <x:v>4.446875000000002</x:v>
      </x:c>
      <x:c r="R66" s="90" t="n">
        <x:v>0</x:v>
      </x:c>
      <x:c r="S66" s="90" t="n">
        <x:v>1</x:v>
      </x:c>
      <x:c r="T66" s="91" t="n">
        <x:f>S66-R66</x:f>
        <x:v>1</x:v>
      </x:c>
      <x:c r="U66" s="90" t="n">
        <x:v>0</x:v>
      </x:c>
      <x:c r="V66" s="90" t="n">
        <x:v>1</x:v>
      </x:c>
      <x:c r="W66" s="91" t="n">
        <x:f>V66-U66</x:f>
        <x:v>1</x:v>
      </x:c>
      <x:c r="X66" s="90" t="n">
        <x:v>0</x:v>
      </x:c>
      <x:c r="Y66" s="90" t="n">
        <x:v>1</x:v>
      </x:c>
      <x:c r="Z66" s="91" t="n">
        <x:f>Y66-X66</x:f>
        <x:v>1</x:v>
      </x:c>
    </x:row>
    <x:row r="67" ht="19" customHeight="1">
      <x:c r="A67" s="36" t="n">
        <x:v>2011</x:v>
      </x:c>
      <x:c r="B67" s="88" t="n">
        <x:v>40787</x:v>
      </x:c>
      <x:c r="C67" s="88" t="n">
        <x:v>40781</x:v>
      </x:c>
      <x:c r="D67" s="36" t="n">
        <x:v>0</x:v>
      </x:c>
      <x:c r="E67" s="36" t="n">
        <x:v>6</x:v>
      </x:c>
      <x:c r="F67" s="67" t="n">
        <x:v>21.084375</x:v>
      </x:c>
      <x:c r="G67" s="67" t="n">
        <x:v>23.81041666666667</x:v>
      </x:c>
      <x:c r="H67" s="89" t="n">
        <x:f>G67-F67</x:f>
        <x:v>2.726041666666667</x:v>
      </x:c>
      <x:c r="I67" s="67" t="n">
        <x:v>28.3</x:v>
      </x:c>
      <x:c r="J67" s="67" t="n">
        <x:v>31.9</x:v>
      </x:c>
      <x:c r="K67" s="89" t="n">
        <x:f>J67-I67</x:f>
        <x:v>3.599999999999998</x:v>
      </x:c>
      <x:c r="L67" s="67" t="n">
        <x:v>14.9</x:v>
      </x:c>
      <x:c r="M67" s="67" t="n">
        <x:v>17.9</x:v>
      </x:c>
      <x:c r="N67" s="89" t="n">
        <x:f>M67-L67</x:f>
        <x:v>2.9999999999999982</x:v>
      </x:c>
      <x:c r="O67" s="67" t="n">
        <x:v>21.089583333333334</x:v>
      </x:c>
      <x:c r="P67" s="67" t="n">
        <x:v>23.692708333333332</x:v>
      </x:c>
      <x:c r="Q67" s="89" t="n">
        <x:f>P67-O67</x:f>
        <x:v>2.6031249999999986</x:v>
      </x:c>
      <x:c r="R67" s="90" t="n">
        <x:v>0</x:v>
      </x:c>
      <x:c r="S67" s="90" t="n">
        <x:v>1</x:v>
      </x:c>
      <x:c r="T67" s="91" t="n">
        <x:f>S67-R67</x:f>
        <x:v>1</x:v>
      </x:c>
      <x:c r="U67" s="90" t="n">
        <x:v>0</x:v>
      </x:c>
      <x:c r="V67" s="90" t="n">
        <x:v>0</x:v>
      </x:c>
      <x:c r="W67" s="91" t="n">
        <x:f>V67-U67</x:f>
        <x:v>0</x:v>
      </x:c>
      <x:c r="X67" s="90" t="n">
        <x:v>0</x:v>
      </x:c>
      <x:c r="Y67" s="90" t="n">
        <x:v>0</x:v>
      </x:c>
      <x:c r="Z67" s="91" t="n">
        <x:f>Y67-X67</x:f>
        <x:v>0</x:v>
      </x:c>
    </x:row>
    <x:row r="68" ht="19" customHeight="1">
      <x:c r="A68" s="36" t="n">
        <x:v>2012</x:v>
      </x:c>
      <x:c r="B68" s="88" t="n">
        <x:v>41153</x:v>
      </x:c>
      <x:c r="C68" s="88" t="n">
        <x:v>41152</x:v>
      </x:c>
      <x:c r="D68" s="36" t="n">
        <x:v>3</x:v>
      </x:c>
      <x:c r="E68" s="36" t="n">
        <x:v>1</x:v>
      </x:c>
      <x:c r="F68" s="67" t="n">
        <x:v>19.40625</x:v>
      </x:c>
      <x:c r="G68" s="67" t="n">
        <x:v>19.68125</x:v>
      </x:c>
      <x:c r="H68" s="89" t="n">
        <x:f>G68-F68</x:f>
        <x:v>0.2749999999999986</x:v>
      </x:c>
      <x:c r="I68" s="67" t="n">
        <x:v>26.5</x:v>
      </x:c>
      <x:c r="J68" s="67" t="n">
        <x:v>26.5</x:v>
      </x:c>
      <x:c r="K68" s="89" t="n">
        <x:f>J68-I68</x:f>
        <x:v>0</x:v>
      </x:c>
      <x:c r="L68" s="67" t="n">
        <x:v>12.1</x:v>
      </x:c>
      <x:c r="M68" s="67" t="n">
        <x:v>12.1</x:v>
      </x:c>
      <x:c r="N68" s="89" t="n">
        <x:f>M68-L68</x:f>
        <x:v>0</x:v>
      </x:c>
      <x:c r="O68" s="67" t="n">
        <x:v>18.592708333333334</x:v>
      </x:c>
      <x:c r="P68" s="67" t="n">
        <x:v>18.948958333333334</x:v>
      </x:c>
      <x:c r="Q68" s="89" t="n">
        <x:f>P68-O68</x:f>
        <x:v>0.3562499999999993</x:v>
      </x:c>
      <x:c r="R68" s="90" t="n">
        <x:v>0</x:v>
      </x:c>
      <x:c r="S68" s="90" t="n">
        <x:v>0</x:v>
      </x:c>
      <x:c r="T68" s="91" t="n">
        <x:f>S68-R68</x:f>
        <x:v>0</x:v>
      </x:c>
      <x:c r="U68" s="90" t="n">
        <x:v>0</x:v>
      </x:c>
      <x:c r="V68" s="90" t="n">
        <x:v>0</x:v>
      </x:c>
      <x:c r="W68" s="91" t="n">
        <x:f>V68-U68</x:f>
        <x:v>0</x:v>
      </x:c>
      <x:c r="X68" s="90" t="n">
        <x:v>0</x:v>
      </x:c>
      <x:c r="Y68" s="90" t="n">
        <x:v>0</x:v>
      </x:c>
      <x:c r="Z68" s="91" t="n">
        <x:f>Y68-X68</x:f>
        <x:v>0</x:v>
      </x:c>
    </x:row>
    <x:row r="69" ht="19" customHeight="1">
      <x:c r="A69" s="36" t="n">
        <x:v>2013</x:v>
      </x:c>
      <x:c r="B69" s="88" t="n">
        <x:v>41518</x:v>
      </x:c>
      <x:c r="C69" s="88" t="n">
        <x:v>41516</x:v>
      </x:c>
      <x:c r="D69" s="36" t="n">
        <x:v>2</x:v>
      </x:c>
      <x:c r="E69" s="36" t="n">
        <x:v>2</x:v>
      </x:c>
      <x:c r="F69" s="67" t="n">
        <x:v>20.170833333333334</x:v>
      </x:c>
      <x:c r="G69" s="67" t="n">
        <x:v>19.358333333333334</x:v>
      </x:c>
      <x:c r="H69" s="89" t="n">
        <x:f>G69-F69</x:f>
        <x:v>-0.8125</x:v>
      </x:c>
      <x:c r="I69" s="67" t="n">
        <x:v>26.7</x:v>
      </x:c>
      <x:c r="J69" s="67" t="n">
        <x:v>25.7</x:v>
      </x:c>
      <x:c r="K69" s="89" t="n">
        <x:f>J69-I69</x:f>
        <x:v>-1</x:v>
      </x:c>
      <x:c r="L69" s="67" t="n">
        <x:v>13.9</x:v>
      </x:c>
      <x:c r="M69" s="67" t="n">
        <x:v>13.4</x:v>
      </x:c>
      <x:c r="N69" s="89" t="n">
        <x:f>M69-L69</x:f>
        <x:v>-0.5</x:v>
      </x:c>
      <x:c r="O69" s="67" t="n">
        <x:v>20.535416666666666</x:v>
      </x:c>
      <x:c r="P69" s="67" t="n">
        <x:v>19.790625</x:v>
      </x:c>
      <x:c r="Q69" s="89" t="n">
        <x:f>P69-O69</x:f>
        <x:v>-0.7447916666666679</x:v>
      </x:c>
      <x:c r="R69" s="90" t="n">
        <x:v>0</x:v>
      </x:c>
      <x:c r="S69" s="90" t="n">
        <x:v>0</x:v>
      </x:c>
      <x:c r="T69" s="91" t="n">
        <x:f>S69-R69</x:f>
        <x:v>0</x:v>
      </x:c>
      <x:c r="U69" s="90" t="n">
        <x:v>0</x:v>
      </x:c>
      <x:c r="V69" s="90" t="n">
        <x:v>0</x:v>
      </x:c>
      <x:c r="W69" s="91" t="n">
        <x:f>V69-U69</x:f>
        <x:v>0</x:v>
      </x:c>
      <x:c r="X69" s="90" t="n">
        <x:v>0</x:v>
      </x:c>
      <x:c r="Y69" s="90" t="n">
        <x:v>0</x:v>
      </x:c>
      <x:c r="Z69" s="91" t="n">
        <x:f>Y69-X69</x:f>
        <x:v>0</x:v>
      </x:c>
    </x:row>
    <x:row r="70" ht="19" customHeight="1">
      <x:c r="A70" s="36" t="n">
        <x:v>2014</x:v>
      </x:c>
      <x:c r="B70" s="88" t="n">
        <x:v>41883</x:v>
      </x:c>
      <x:c r="C70" s="88" t="n">
        <x:v>41880</x:v>
      </x:c>
      <x:c r="D70" s="36" t="n">
        <x:v>1</x:v>
      </x:c>
      <x:c r="E70" s="36" t="n">
        <x:v>3</x:v>
      </x:c>
      <x:c r="F70" s="67" t="n">
        <x:v>26.264583333333334</x:v>
      </x:c>
      <x:c r="G70" s="67" t="n">
        <x:v>24.85520833333333</x:v>
      </x:c>
      <x:c r="H70" s="89" t="n">
        <x:f>G70-F70</x:f>
        <x:v>-1.4093750000000043</x:v>
      </x:c>
      <x:c r="I70" s="67" t="n">
        <x:v>35.3</x:v>
      </x:c>
      <x:c r="J70" s="67" t="n">
        <x:v>32.9</x:v>
      </x:c>
      <x:c r="K70" s="89" t="n">
        <x:f>J70-I70</x:f>
        <x:v>-2.3999999999999986</x:v>
      </x:c>
      <x:c r="L70" s="67" t="n">
        <x:v>19.8</x:v>
      </x:c>
      <x:c r="M70" s="67" t="n">
        <x:v>19</x:v>
      </x:c>
      <x:c r="N70" s="89" t="n">
        <x:f>M70-L70</x:f>
        <x:v>-0.8000000000000007</x:v>
      </x:c>
      <x:c r="O70" s="67" t="n">
        <x:v>27.730208333333334</x:v>
      </x:c>
      <x:c r="P70" s="67" t="n">
        <x:v>26.49895833333333</x:v>
      </x:c>
      <x:c r="Q70" s="89" t="n">
        <x:f>P70-O70</x:f>
        <x:v>-1.2312500000000028</x:v>
      </x:c>
      <x:c r="R70" s="90" t="n">
        <x:v>1</x:v>
      </x:c>
      <x:c r="S70" s="90" t="n">
        <x:v>1</x:v>
      </x:c>
      <x:c r="T70" s="91" t="n">
        <x:f>S70-R70</x:f>
        <x:v>0</x:v>
      </x:c>
      <x:c r="U70" s="90" t="n">
        <x:v>1</x:v>
      </x:c>
      <x:c r="V70" s="90" t="n">
        <x:v>1</x:v>
      </x:c>
      <x:c r="W70" s="91" t="n">
        <x:f>V70-U70</x:f>
        <x:v>0</x:v>
      </x:c>
      <x:c r="X70" s="90" t="n">
        <x:v>1</x:v>
      </x:c>
      <x:c r="Y70" s="90" t="n">
        <x:v>0</x:v>
      </x:c>
      <x:c r="Z70" s="91" t="n">
        <x:f>Y70-X70</x:f>
        <x:v>-1</x:v>
      </x:c>
    </x:row>
    <x:row r="71" ht="19" customHeight="1">
      <x:c r="A71" s="36" t="n">
        <x:v>2015</x:v>
      </x:c>
      <x:c r="B71" s="88" t="n">
        <x:v>42248</x:v>
      </x:c>
      <x:c r="C71" s="88" t="n">
        <x:v>42244</x:v>
      </x:c>
      <x:c r="D71" s="36" t="n">
        <x:v>0</x:v>
      </x:c>
      <x:c r="E71" s="36" t="n">
        <x:v>4</x:v>
      </x:c>
      <x:c r="F71" s="67" t="n">
        <x:v>21.778125</x:v>
      </x:c>
      <x:c r="G71" s="67" t="n">
        <x:v>25.202083333333334</x:v>
      </x:c>
      <x:c r="H71" s="89" t="n">
        <x:f>G71-F71</x:f>
        <x:v>3.423958333333335</x:v>
      </x:c>
      <x:c r="I71" s="67" t="n">
        <x:v>28.7</x:v>
      </x:c>
      <x:c r="J71" s="67" t="n">
        <x:v>33</x:v>
      </x:c>
      <x:c r="K71" s="89" t="n">
        <x:f>J71-I71</x:f>
        <x:v>4.300000000000001</x:v>
      </x:c>
      <x:c r="L71" s="67" t="n">
        <x:v>16.6</x:v>
      </x:c>
      <x:c r="M71" s="67" t="n">
        <x:v>19.2</x:v>
      </x:c>
      <x:c r="N71" s="89" t="n">
        <x:f>M71-L71</x:f>
        <x:v>2.599999999999998</x:v>
      </x:c>
      <x:c r="O71" s="67" t="n">
        <x:v>23.51770833333333</x:v>
      </x:c>
      <x:c r="P71" s="67" t="n">
        <x:v>26.682291666666664</x:v>
      </x:c>
      <x:c r="Q71" s="89" t="n">
        <x:f>P71-O71</x:f>
        <x:v>3.164583333333333</x:v>
      </x:c>
      <x:c r="R71" s="90" t="n">
        <x:v>0</x:v>
      </x:c>
      <x:c r="S71" s="90" t="n">
        <x:v>1</x:v>
      </x:c>
      <x:c r="T71" s="91" t="n">
        <x:f>S71-R71</x:f>
        <x:v>1</x:v>
      </x:c>
      <x:c r="U71" s="90" t="n">
        <x:v>0</x:v>
      </x:c>
      <x:c r="V71" s="90" t="n">
        <x:v>1</x:v>
      </x:c>
      <x:c r="W71" s="91" t="n">
        <x:f>V71-U71</x:f>
        <x:v>1</x:v>
      </x:c>
      <x:c r="X71" s="90" t="n">
        <x:v>0</x:v>
      </x:c>
      <x:c r="Y71" s="90" t="n">
        <x:v>0</x:v>
      </x:c>
      <x:c r="Z71" s="91" t="n">
        <x:f>Y71-X71</x:f>
        <x:v>0</x:v>
      </x:c>
    </x:row>
    <x:row r="72" ht="19" customHeight="1">
      <x:c r="A72" s="36" t="n">
        <x:v>2016</x:v>
      </x:c>
      <x:c r="B72" s="88" t="n">
        <x:v>42614</x:v>
      </x:c>
      <x:c r="C72" s="88" t="n">
        <x:v>42608</x:v>
      </x:c>
      <x:c r="D72" s="36" t="n">
        <x:v>0</x:v>
      </x:c>
      <x:c r="E72" s="36" t="n">
        <x:v>6</x:v>
      </x:c>
      <x:c r="F72" s="67" t="n">
        <x:v>24.638541666666665</x:v>
      </x:c>
      <x:c r="G72" s="67" t="n">
        <x:v>24.91979166666667</x:v>
      </x:c>
      <x:c r="H72" s="89" t="n">
        <x:f>G72-F72</x:f>
        <x:v>0.28125000000000355</x:v>
      </x:c>
      <x:c r="I72" s="67" t="n">
        <x:v>35.3</x:v>
      </x:c>
      <x:c r="J72" s="67" t="n">
        <x:v>33.5</x:v>
      </x:c>
      <x:c r="K72" s="89" t="n">
        <x:f>J72-I72</x:f>
        <x:v>-1.7999999999999972</x:v>
      </x:c>
      <x:c r="L72" s="67" t="n">
        <x:v>17.7</x:v>
      </x:c>
      <x:c r="M72" s="67" t="n">
        <x:v>18.3</x:v>
      </x:c>
      <x:c r="N72" s="89" t="n">
        <x:f>M72-L72</x:f>
        <x:v>0.6000000000000014</x:v>
      </x:c>
      <x:c r="O72" s="67" t="n">
        <x:v>25.190625</x:v>
      </x:c>
      <x:c r="P72" s="67" t="n">
        <x:v>26.317708333333332</x:v>
      </x:c>
      <x:c r="Q72" s="89" t="n">
        <x:f>P72-O72</x:f>
        <x:v>1.1270833333333314</x:v>
      </x:c>
      <x:c r="R72" s="90" t="n">
        <x:v>1</x:v>
      </x:c>
      <x:c r="S72" s="90" t="n">
        <x:v>1</x:v>
      </x:c>
      <x:c r="T72" s="91" t="n">
        <x:f>S72-R72</x:f>
        <x:v>0</x:v>
      </x:c>
      <x:c r="U72" s="90" t="n">
        <x:v>1</x:v>
      </x:c>
      <x:c r="V72" s="90" t="n">
        <x:v>1</x:v>
      </x:c>
      <x:c r="W72" s="91" t="n">
        <x:f>V72-U72</x:f>
        <x:v>0</x:v>
      </x:c>
      <x:c r="X72" s="90" t="n">
        <x:v>1</x:v>
      </x:c>
      <x:c r="Y72" s="90" t="n">
        <x:v>0</x:v>
      </x:c>
      <x:c r="Z72" s="91" t="n">
        <x:f>Y72-X72</x:f>
        <x:v>-1</x:v>
      </x:c>
    </x:row>
    <x:row r="73" ht="19" customHeight="1">
      <x:c r="A73" s="36" t="n">
        <x:v>2017</x:v>
      </x:c>
      <x:c r="B73" s="88" t="n">
        <x:v>42979</x:v>
      </x:c>
      <x:c r="C73" s="88" t="n">
        <x:v>42972</x:v>
      </x:c>
      <x:c r="D73" s="36" t="n">
        <x:v>0</x:v>
      </x:c>
      <x:c r="E73" s="36" t="n">
        <x:v>7</x:v>
      </x:c>
      <x:c r="F73" s="67" t="n">
        <x:v>20.873958333333334</x:v>
      </x:c>
      <x:c r="G73" s="67" t="n">
        <x:v>25.578125</x:v>
      </x:c>
      <x:c r="H73" s="89" t="n">
        <x:f>G73-F73</x:f>
        <x:v>4.704166666666666</x:v>
      </x:c>
      <x:c r="I73" s="67" t="n">
        <x:v>29</x:v>
      </x:c>
      <x:c r="J73" s="67" t="n">
        <x:v>34.1</x:v>
      </x:c>
      <x:c r="K73" s="89" t="n">
        <x:f>J73-I73</x:f>
        <x:v>5.100000000000001</x:v>
      </x:c>
      <x:c r="L73" s="67" t="n">
        <x:v>14.9</x:v>
      </x:c>
      <x:c r="M73" s="67" t="n">
        <x:v>19.9</x:v>
      </x:c>
      <x:c r="N73" s="89" t="n">
        <x:f>M73-L73</x:f>
        <x:v>4.999999999999998</x:v>
      </x:c>
      <x:c r="O73" s="67" t="n">
        <x:v>22.09166666666667</x:v>
      </x:c>
      <x:c r="P73" s="67" t="n">
        <x:v>26.588541666666668</x:v>
      </x:c>
      <x:c r="Q73" s="89" t="n">
        <x:f>P73-O73</x:f>
        <x:v>4.496874999999999</x:v>
      </x:c>
      <x:c r="R73" s="90" t="n">
        <x:v>0</x:v>
      </x:c>
      <x:c r="S73" s="90" t="n">
        <x:v>1</x:v>
      </x:c>
      <x:c r="T73" s="91" t="n">
        <x:f>S73-R73</x:f>
        <x:v>1</x:v>
      </x:c>
      <x:c r="U73" s="90" t="n">
        <x:v>0</x:v>
      </x:c>
      <x:c r="V73" s="90" t="n">
        <x:v>1</x:v>
      </x:c>
      <x:c r="W73" s="91" t="n">
        <x:f>V73-U73</x:f>
        <x:v>1</x:v>
      </x:c>
      <x:c r="X73" s="90" t="n">
        <x:v>0</x:v>
      </x:c>
      <x:c r="Y73" s="90" t="n">
        <x:v>0</x:v>
      </x:c>
      <x:c r="Z73" s="91" t="n">
        <x:f>Y73-X73</x:f>
        <x:v>0</x:v>
      </x:c>
    </x:row>
    <x:row r="74" ht="19" customHeight="1">
      <x:c r="A74" s="36" t="n">
        <x:v>2018</x:v>
      </x:c>
      <x:c r="B74" s="88" t="n">
        <x:v>43344</x:v>
      </x:c>
      <x:c r="C74" s="88" t="n">
        <x:v>43343</x:v>
      </x:c>
      <x:c r="D74" s="36" t="n">
        <x:v>3</x:v>
      </x:c>
      <x:c r="E74" s="36" t="n">
        <x:v>1</x:v>
      </x:c>
      <x:c r="F74" s="67" t="n">
        <x:v>24.11875</x:v>
      </x:c>
      <x:c r="G74" s="67" t="n">
        <x:v>24.111458333333335</x:v>
      </x:c>
      <x:c r="H74" s="89" t="n">
        <x:f>G74-F74</x:f>
        <x:v>-0.007291666666663588</x:v>
      </x:c>
      <x:c r="I74" s="67" t="n">
        <x:v>31.2</x:v>
      </x:c>
      <x:c r="J74" s="67" t="n">
        <x:v>31.2</x:v>
      </x:c>
      <x:c r="K74" s="89" t="n">
        <x:f>J74-I74</x:f>
        <x:v>0</x:v>
      </x:c>
      <x:c r="L74" s="67" t="n">
        <x:v>18.7</x:v>
      </x:c>
      <x:c r="M74" s="67" t="n">
        <x:v>18.7</x:v>
      </x:c>
      <x:c r="N74" s="89" t="n">
        <x:f>M74-L74</x:f>
        <x:v>0</x:v>
      </x:c>
      <x:c r="O74" s="67" t="n">
        <x:v>26.268749999999997</x:v>
      </x:c>
      <x:c r="P74" s="67" t="n">
        <x:v>26.34375</x:v>
      </x:c>
      <x:c r="Q74" s="89" t="n">
        <x:f>P74-O74</x:f>
        <x:v>0.07500000000000284</x:v>
      </x:c>
      <x:c r="R74" s="90" t="n">
        <x:v>1</x:v>
      </x:c>
      <x:c r="S74" s="90" t="n">
        <x:v>1</x:v>
      </x:c>
      <x:c r="T74" s="91" t="n">
        <x:f>S74-R74</x:f>
        <x:v>0</x:v>
      </x:c>
      <x:c r="U74" s="90" t="n">
        <x:v>0</x:v>
      </x:c>
      <x:c r="V74" s="90" t="n">
        <x:v>0</x:v>
      </x:c>
      <x:c r="W74" s="91" t="n">
        <x:f>V74-U74</x:f>
        <x:v>0</x:v>
      </x:c>
      <x:c r="X74" s="90" t="n">
        <x:v>0</x:v>
      </x:c>
      <x:c r="Y74" s="90" t="n">
        <x:v>0</x:v>
      </x:c>
      <x:c r="Z74" s="91" t="n">
        <x:f>Y74-X74</x:f>
        <x:v>0</x:v>
      </x:c>
    </x:row>
    <x:row r="75" ht="19" customHeight="1">
      <x:c r="A75" s="36" t="n">
        <x:v>2019</x:v>
      </x:c>
      <x:c r="B75" s="88" t="n">
        <x:v>43709</x:v>
      </x:c>
      <x:c r="C75" s="88" t="n">
        <x:v>43707</x:v>
      </x:c>
      <x:c r="D75" s="36" t="n">
        <x:v>2</x:v>
      </x:c>
      <x:c r="E75" s="36" t="n">
        <x:v>2</x:v>
      </x:c>
      <x:c r="F75" s="67" t="n">
        <x:v>23.204166666666666</x:v>
      </x:c>
      <x:c r="G75" s="67" t="n">
        <x:v>23.523958333333333</x:v>
      </x:c>
      <x:c r="H75" s="89" t="n">
        <x:f>G75-F75</x:f>
        <x:v>0.31979166666666714</x:v>
      </x:c>
      <x:c r="I75" s="67" t="n">
        <x:v>30.8</x:v>
      </x:c>
      <x:c r="J75" s="67" t="n">
        <x:v>30.8</x:v>
      </x:c>
      <x:c r="K75" s="89" t="n">
        <x:f>J75-I75</x:f>
        <x:v>0</x:v>
      </x:c>
      <x:c r="L75" s="67" t="n">
        <x:v>19.3</x:v>
      </x:c>
      <x:c r="M75" s="67" t="n">
        <x:v>17.9</x:v>
      </x:c>
      <x:c r="N75" s="89" t="n">
        <x:f>M75-L75</x:f>
        <x:v>-1.4000000000000021</x:v>
      </x:c>
      <x:c r="O75" s="67" t="n">
        <x:v>25.287499999999998</x:v>
      </x:c>
      <x:c r="P75" s="67" t="n">
        <x:v>25.240624999999998</x:v>
      </x:c>
      <x:c r="Q75" s="89" t="n">
        <x:f>P75-O75</x:f>
        <x:v>-0.046875</x:v>
      </x:c>
      <x:c r="R75" s="90" t="n">
        <x:v>1</x:v>
      </x:c>
      <x:c r="S75" s="90" t="n">
        <x:v>1</x:v>
      </x:c>
      <x:c r="T75" s="91" t="n">
        <x:f>S75-R75</x:f>
        <x:v>0</x:v>
      </x:c>
      <x:c r="U75" s="90" t="n">
        <x:v>0</x:v>
      </x:c>
      <x:c r="V75" s="90" t="n">
        <x:v>0</x:v>
      </x:c>
      <x:c r="W75" s="91" t="n">
        <x:f>V75-U75</x:f>
        <x:v>0</x:v>
      </x:c>
      <x:c r="X75" s="90" t="n">
        <x:v>0</x:v>
      </x:c>
      <x:c r="Y75" s="90" t="n">
        <x:v>0</x:v>
      </x:c>
      <x:c r="Z75" s="91" t="n">
        <x:f>Y75-X75</x:f>
        <x:v>0</x:v>
      </x:c>
    </x:row>
    <x:row r="76" ht="19" customHeight="1">
      <x:c r="A76" s="36" t="n">
        <x:v>2020</x:v>
      </x:c>
      <x:c r="B76" s="88" t="n">
        <x:v>44075</x:v>
      </x:c>
      <x:c r="C76" s="88" t="n">
        <x:v>44071</x:v>
      </x:c>
      <x:c r="D76" s="36" t="n">
        <x:v>0</x:v>
      </x:c>
      <x:c r="E76" s="36" t="n">
        <x:v>4</x:v>
      </x:c>
      <x:c r="F76" s="67" t="n">
        <x:v>20.414583333333333</x:v>
      </x:c>
      <x:c r="G76" s="67" t="n">
        <x:v>22.25208333333333</x:v>
      </x:c>
      <x:c r="H76" s="89" t="n">
        <x:f>G76-F76</x:f>
        <x:v>1.8374999999999986</x:v>
      </x:c>
      <x:c r="I76" s="67" t="n">
        <x:v>26.7</x:v>
      </x:c>
      <x:c r="J76" s="67" t="n">
        <x:v>34</x:v>
      </x:c>
      <x:c r="K76" s="89" t="n">
        <x:f>J76-I76</x:f>
        <x:v>7.300000000000001</x:v>
      </x:c>
      <x:c r="L76" s="67" t="n">
        <x:v>15.5</x:v>
      </x:c>
      <x:c r="M76" s="67" t="n">
        <x:v>14.2</x:v>
      </x:c>
      <x:c r="N76" s="89" t="n">
        <x:f>M76-L76</x:f>
        <x:v>-1.3000000000000007</x:v>
      </x:c>
      <x:c r="O76" s="67" t="n">
        <x:v>21.179166666666667</x:v>
      </x:c>
      <x:c r="P76" s="67" t="n">
        <x:v>22.084375</x:v>
      </x:c>
      <x:c r="Q76" s="89" t="n">
        <x:f>P76-O76</x:f>
        <x:v>0.9052083333333343</x:v>
      </x:c>
      <x:c r="R76" s="90" t="n">
        <x:v>0</x:v>
      </x:c>
      <x:c r="S76" s="90" t="n">
        <x:v>1</x:v>
      </x:c>
      <x:c r="T76" s="91" t="n">
        <x:f>S76-R76</x:f>
        <x:v>1</x:v>
      </x:c>
      <x:c r="U76" s="90" t="n">
        <x:v>0</x:v>
      </x:c>
      <x:c r="V76" s="90" t="n">
        <x:v>1</x:v>
      </x:c>
      <x:c r="W76" s="91" t="n">
        <x:f>V76-U76</x:f>
        <x:v>1</x:v>
      </x:c>
      <x:c r="X76" s="90" t="n">
        <x:v>0</x:v>
      </x:c>
      <x:c r="Y76" s="90" t="n">
        <x:v>0</x:v>
      </x:c>
      <x:c r="Z76" s="91" t="n">
        <x:f>Y76-X76</x:f>
        <x:v>0</x:v>
      </x:c>
    </x:row>
    <x:row r="77" ht="19" customHeight="1">
      <x:c r="A77" s="36" t="n">
        <x:v>2021</x:v>
      </x:c>
      <x:c r="B77" s="88" t="n">
        <x:v>44440</x:v>
      </x:c>
      <x:c r="C77" s="88" t="n">
        <x:v>44435</x:v>
      </x:c>
      <x:c r="D77" s="36" t="n">
        <x:v>0</x:v>
      </x:c>
      <x:c r="E77" s="36" t="n">
        <x:v>5</x:v>
      </x:c>
      <x:c r="F77" s="67" t="n">
        <x:v>21.883333333333333</x:v>
      </x:c>
      <x:c r="G77" s="67" t="n">
        <x:v>25.209374999999998</x:v>
      </x:c>
      <x:c r="H77" s="89" t="n">
        <x:f>G77-F77</x:f>
        <x:v>3.326041666666665</x:v>
      </x:c>
      <x:c r="I77" s="67" t="n">
        <x:v>27.6</x:v>
      </x:c>
      <x:c r="J77" s="67" t="n">
        <x:v>34.1</x:v>
      </x:c>
      <x:c r="K77" s="89" t="n">
        <x:f>J77-I77</x:f>
        <x:v>6.5</x:v>
      </x:c>
      <x:c r="L77" s="67" t="n">
        <x:v>16.7</x:v>
      </x:c>
      <x:c r="M77" s="67" t="n">
        <x:v>20.5</x:v>
      </x:c>
      <x:c r="N77" s="89" t="n">
        <x:f>M77-L77</x:f>
        <x:v>3.8000000000000007</x:v>
      </x:c>
      <x:c r="O77" s="67" t="n">
        <x:v>23.76354166666667</x:v>
      </x:c>
      <x:c r="P77" s="67" t="n">
        <x:v>26.68541666666667</x:v>
      </x:c>
      <x:c r="Q77" s="89" t="n">
        <x:f>P77-O77</x:f>
        <x:v>2.921875</x:v>
      </x:c>
      <x:c r="R77" s="90" t="n">
        <x:v>0</x:v>
      </x:c>
      <x:c r="S77" s="90" t="n">
        <x:v>1</x:v>
      </x:c>
      <x:c r="T77" s="91" t="n">
        <x:f>S77-R77</x:f>
        <x:v>1</x:v>
      </x:c>
      <x:c r="U77" s="90" t="n">
        <x:v>0</x:v>
      </x:c>
      <x:c r="V77" s="90" t="n">
        <x:v>1</x:v>
      </x:c>
      <x:c r="W77" s="91" t="n">
        <x:f>V77-U77</x:f>
        <x:v>1</x:v>
      </x:c>
      <x:c r="X77" s="90" t="n">
        <x:v>0</x:v>
      </x:c>
      <x:c r="Y77" s="90" t="n">
        <x:v>0</x:v>
      </x:c>
      <x:c r="Z77" s="91" t="n">
        <x:f>Y77-X77</x:f>
        <x:v>0</x:v>
      </x:c>
    </x:row>
    <x:row r="78" ht="19" customHeight="1">
      <x:c r="A78" s="36" t="n">
        <x:v>2022</x:v>
      </x:c>
      <x:c r="B78" s="88" t="n">
        <x:v>44805</x:v>
      </x:c>
      <x:c r="C78" s="88" t="n">
        <x:v>44799</x:v>
      </x:c>
      <x:c r="D78" s="36" t="n">
        <x:v>0</x:v>
      </x:c>
      <x:c r="E78" s="36" t="n">
        <x:v>6</x:v>
      </x:c>
      <x:c r="F78" s="67" t="n">
        <x:v>25.57916666666667</x:v>
      </x:c>
      <x:c r="G78" s="67" t="n">
        <x:v>24.91875</x:v>
      </x:c>
      <x:c r="H78" s="89" t="n">
        <x:f>G78-F78</x:f>
        <x:v>-0.66041666666667</x:v>
      </x:c>
      <x:c r="I78" s="67" t="n">
        <x:v>32.4</x:v>
      </x:c>
      <x:c r="J78" s="67" t="n">
        <x:v>32.1</x:v>
      </x:c>
      <x:c r="K78" s="89" t="n">
        <x:f>J78-I78</x:f>
        <x:v>-0.29999999999999716</x:v>
      </x:c>
      <x:c r="L78" s="67" t="n">
        <x:v>19.3</x:v>
      </x:c>
      <x:c r="M78" s="67" t="n">
        <x:v>19.5</x:v>
      </x:c>
      <x:c r="N78" s="89" t="n">
        <x:f>M78-L78</x:f>
        <x:v>0.1999999999999993</x:v>
      </x:c>
      <x:c r="O78" s="67" t="n">
        <x:v>25.727083333333333</x:v>
      </x:c>
      <x:c r="P78" s="67" t="n">
        <x:v>26.13125</x:v>
      </x:c>
      <x:c r="Q78" s="89" t="n">
        <x:f>P78-O78</x:f>
        <x:v>0.40416666666666856</x:v>
      </x:c>
      <x:c r="R78" s="90" t="n">
        <x:v>1</x:v>
      </x:c>
      <x:c r="S78" s="90" t="n">
        <x:v>1</x:v>
      </x:c>
      <x:c r="T78" s="91" t="n">
        <x:f>S78-R78</x:f>
        <x:v>0</x:v>
      </x:c>
      <x:c r="U78" s="90" t="n">
        <x:v>1</x:v>
      </x:c>
      <x:c r="V78" s="90" t="n">
        <x:v>1</x:v>
      </x:c>
      <x:c r="W78" s="91" t="n">
        <x:f>V78-U78</x:f>
        <x:v>0</x:v>
      </x:c>
      <x:c r="X78" s="90" t="n">
        <x:v>0</x:v>
      </x:c>
      <x:c r="Y78" s="90" t="n">
        <x:v>0</x:v>
      </x:c>
      <x:c r="Z78" s="91" t="n">
        <x:f>Y78-X78</x:f>
        <x:v>0</x:v>
      </x:c>
    </x:row>
    <x:row r="79" ht="19" customHeight="1">
      <x:c r="A79" s="36" t="n">
        <x:v>2023</x:v>
      </x:c>
      <x:c r="B79" s="88" t="n">
        <x:v>45170</x:v>
      </x:c>
      <x:c r="C79" s="88" t="n">
        <x:v>45163</x:v>
      </x:c>
      <x:c r="D79" s="36" t="n">
        <x:v>0</x:v>
      </x:c>
      <x:c r="E79" s="36" t="n">
        <x:v>7</x:v>
      </x:c>
      <x:c r="F79" s="67" t="n">
        <x:v>21.616666666666667</x:v>
      </x:c>
      <x:c r="G79" s="67" t="n">
        <x:v>25.742708333333333</x:v>
      </x:c>
      <x:c r="H79" s="89" t="n">
        <x:f>G79-F79</x:f>
        <x:v>4.126041666666666</x:v>
      </x:c>
      <x:c r="I79" s="67" t="n">
        <x:v>28</x:v>
      </x:c>
      <x:c r="J79" s="67" t="n">
        <x:v>38.8</x:v>
      </x:c>
      <x:c r="K79" s="89" t="n">
        <x:f>J79-I79</x:f>
        <x:v>10.799999999999997</x:v>
      </x:c>
      <x:c r="L79" s="67" t="n">
        <x:v>18</x:v>
      </x:c>
      <x:c r="M79" s="67" t="n">
        <x:v>16.1</x:v>
      </x:c>
      <x:c r="N79" s="89" t="n">
        <x:f>M79-L79</x:f>
        <x:v>-1.8999999999999986</x:v>
      </x:c>
      <x:c r="O79" s="67" t="n">
        <x:v>22.839583333333334</x:v>
      </x:c>
      <x:c r="P79" s="67" t="n">
        <x:v>25.545833333333334</x:v>
      </x:c>
      <x:c r="Q79" s="89" t="n">
        <x:f>P79-O79</x:f>
        <x:v>2.7062500000000007</x:v>
      </x:c>
      <x:c r="R79" s="90" t="n">
        <x:v>0</x:v>
      </x:c>
      <x:c r="S79" s="90" t="n">
        <x:v>1</x:v>
      </x:c>
      <x:c r="T79" s="91" t="n">
        <x:f>S79-R79</x:f>
        <x:v>1</x:v>
      </x:c>
      <x:c r="U79" s="90" t="n">
        <x:v>0</x:v>
      </x:c>
      <x:c r="V79" s="90" t="n">
        <x:v>1</x:v>
      </x:c>
      <x:c r="W79" s="91" t="n">
        <x:f>V79-U79</x:f>
        <x:v>1</x:v>
      </x:c>
      <x:c r="X79" s="90" t="n">
        <x:v>0</x:v>
      </x:c>
      <x:c r="Y79" s="90" t="n">
        <x:v>1</x:v>
      </x:c>
      <x:c r="Z79" s="91" t="n">
        <x:f>Y79-X79</x:f>
        <x:v>1</x:v>
      </x:c>
    </x:row>
    <x:row r="80" ht="19" customHeight="1">
      <x:c r="A80" s="36" t="n">
        <x:v>2024</x:v>
      </x:c>
      <x:c r="B80" s="88" t="n">
        <x:v>45536</x:v>
      </x:c>
      <x:c r="C80" s="88" t="n">
        <x:v>45534</x:v>
      </x:c>
      <x:c r="D80" s="36" t="n">
        <x:v>2</x:v>
      </x:c>
      <x:c r="E80" s="36" t="n">
        <x:v>2</x:v>
      </x:c>
      <x:c r="F80" s="67" t="n">
        <x:v>23.163541666666667</x:v>
      </x:c>
      <x:c r="G80" s="67" t="n">
        <x:v>23.73125</x:v>
      </x:c>
      <x:c r="H80" s="89" t="n">
        <x:f>G80-F80</x:f>
        <x:v>0.5677083333333321</x:v>
      </x:c>
      <x:c r="I80" s="67" t="n">
        <x:v>29.1</x:v>
      </x:c>
      <x:c r="J80" s="67" t="n">
        <x:v>29.7</x:v>
      </x:c>
      <x:c r="K80" s="89" t="n">
        <x:f>J80-I80</x:f>
        <x:v>0.5999999999999979</x:v>
      </x:c>
      <x:c r="L80" s="67" t="n">
        <x:v>17.6</x:v>
      </x:c>
      <x:c r="M80" s="67" t="n">
        <x:v>20</x:v>
      </x:c>
      <x:c r="N80" s="89" t="n">
        <x:f>M80-L80</x:f>
        <x:v>2.3999999999999986</x:v>
      </x:c>
      <x:c r="O80" s="67" t="n">
        <x:v>25.708333333333332</x:v>
      </x:c>
      <x:c r="P80" s="67" t="n">
        <x:v>25.860416666666666</x:v>
      </x:c>
      <x:c r="Q80" s="89" t="n">
        <x:f>P80-O80</x:f>
        <x:v>0.15208333333333357</x:v>
      </x:c>
      <x:c r="R80" s="90" t="n">
        <x:v>0</x:v>
      </x:c>
      <x:c r="S80" s="90" t="n">
        <x:v>0</x:v>
      </x:c>
      <x:c r="T80" s="91" t="n">
        <x:f>S80-R80</x:f>
        <x:v>0</x:v>
      </x:c>
      <x:c r="U80" s="90" t="n">
        <x:v>0</x:v>
      </x:c>
      <x:c r="V80" s="90" t="n">
        <x:v>0</x:v>
      </x:c>
      <x:c r="W80" s="91" t="n">
        <x:f>V80-U80</x:f>
        <x:v>0</x:v>
      </x:c>
      <x:c r="X80" s="90" t="n">
        <x:v>0</x:v>
      </x:c>
      <x:c r="Y80" s="90" t="n">
        <x:v>0</x:v>
      </x:c>
      <x:c r="Z80" s="91" t="n">
        <x:f>Y80-X80</x:f>
        <x:v>0</x:v>
      </x:c>
    </x:row>
    <x:row r="81" ht="19" customHeight="1">
      <x:c r="A81" s="40" t="n">
        <x:v>2025</x:v>
      </x:c>
      <x:c r="B81" s="92" t="n">
        <x:v>45901</x:v>
      </x:c>
      <x:c r="C81" s="92" t="n">
        <x:v>45898</x:v>
      </x:c>
      <x:c r="D81" s="40" t="n">
        <x:v>1</x:v>
      </x:c>
      <x:c r="E81" s="40" t="n">
        <x:v>3</x:v>
      </x:c>
      <x:c r="F81" s="68" t="n">
        <x:v>23.638541666666665</x:v>
      </x:c>
      <x:c r="G81" s="68" t="n">
        <x:v>24.790625</x:v>
      </x:c>
      <x:c r="H81" s="93" t="n">
        <x:f>G81-F81</x:f>
        <x:v>1.1520833333333336</x:v>
      </x:c>
      <x:c r="I81" s="68" t="n">
        <x:v>33.2</x:v>
      </x:c>
      <x:c r="J81" s="68" t="n">
        <x:v>32.2</x:v>
      </x:c>
      <x:c r="K81" s="93" t="n">
        <x:f>J81-I81</x:f>
        <x:v>-1</x:v>
      </x:c>
      <x:c r="L81" s="68" t="n">
        <x:v>16.2</x:v>
      </x:c>
      <x:c r="M81" s="68" t="n">
        <x:v>16.2</x:v>
      </x:c>
      <x:c r="N81" s="93" t="n">
        <x:f>M81-L81</x:f>
        <x:v>0</x:v>
      </x:c>
      <x:c r="O81" s="68" t="n">
        <x:v>22.304166666666667</x:v>
      </x:c>
      <x:c r="P81" s="68" t="n">
        <x:v>23.0625</x:v>
      </x:c>
      <x:c r="Q81" s="93" t="n">
        <x:f>P81-O81</x:f>
        <x:v>0.7583333333333329</x:v>
      </x:c>
      <x:c r="R81" s="94" t="n">
        <x:v>1</x:v>
      </x:c>
      <x:c r="S81" s="94" t="n">
        <x:v>1</x:v>
      </x:c>
      <x:c r="T81" s="95" t="n">
        <x:f>S81-R81</x:f>
        <x:v>0</x:v>
      </x:c>
      <x:c r="U81" s="94" t="n">
        <x:v>1</x:v>
      </x:c>
      <x:c r="V81" s="94" t="n">
        <x:v>1</x:v>
      </x:c>
      <x:c r="W81" s="95" t="n">
        <x:f>V81-U81</x:f>
        <x:v>0</x:v>
      </x:c>
      <x:c r="X81" s="94" t="n">
        <x:v>0</x:v>
      </x:c>
      <x:c r="Y81" s="94" t="n">
        <x:v>0</x:v>
      </x:c>
      <x:c r="Z81" s="95" t="n">
        <x:f>Y81-X81</x:f>
        <x:v>0</x:v>
      </x:c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F8C8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52" hidden="0" customWidth="1"/>
    <x:col min="3" max="3" width="4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3" t="str">
        <x:v>Método y reproducibilidad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5" t="str">
        <x:v>Diseño emparejado por año. Unidad analítica: un año climatológico.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19" t="str">
        <x:v>Hipótesis y estimando principal</x:v>
      </x:c>
      <x:c r="B6" s="20"/>
      <x:c r="C6" s="20"/>
      <x:c r="D6" s="20"/>
      <x:c r="E6" s="20"/>
      <x:c r="F6" s="20"/>
      <x:c r="G6" s="20"/>
      <x:c r="H6" s="21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96" t="str">
        <x:v>Variable primaria</x:v>
      </x:c>
      <x:c r="B7" s="97" t="str">
        <x:v>Temperatura media de las 96 horas de cada intervalo de cuatro días.</x:v>
      </x:c>
      <x:c r="C7" s="97"/>
      <x:c r="D7" s="97"/>
      <x:c r="E7" s="97"/>
      <x:c r="F7" s="97"/>
      <x:c r="G7" s="97"/>
      <x:c r="H7" s="97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98" t="str">
        <x:v>Diferencia anual</x:v>
      </x:c>
      <x:c r="B8" s="99" t="str">
        <x:v>Dᵧ = temperatura media Bᵧ − temperatura media Aᵧ.</x:v>
      </x:c>
      <x:c r="C8" s="99"/>
      <x:c r="D8" s="99"/>
      <x:c r="E8" s="99"/>
      <x:c r="F8" s="99"/>
      <x:c r="G8" s="99"/>
      <x:c r="H8" s="99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98" t="str">
        <x:v>Hipótesis nula</x:v>
      </x:c>
      <x:c r="B9" s="99" t="str">
        <x:v>La diferencia media es cero.</x:v>
      </x:c>
      <x:c r="C9" s="99"/>
      <x:c r="D9" s="99"/>
      <x:c r="E9" s="99"/>
      <x:c r="F9" s="99"/>
      <x:c r="G9" s="99"/>
      <x:c r="H9" s="99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98" t="str">
        <x:v>Hipótesis alternativa</x:v>
      </x:c>
      <x:c r="B10" s="99" t="str">
        <x:v>La diferencia media es distinta de cero; la dirección esperada es B &gt; A.</x:v>
      </x:c>
      <x:c r="C10" s="99"/>
      <x:c r="D10" s="99"/>
      <x:c r="E10" s="99"/>
      <x:c r="F10" s="99"/>
      <x:c r="G10" s="99"/>
      <x:c r="H10" s="99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100" t="str">
        <x:v>Contraste principal</x:v>
      </x:c>
      <x:c r="B11" s="101" t="str">
        <x:v>t de Student emparejada bilateral e intervalo de confianza del 95 %.</x:v>
      </x:c>
      <x:c r="C11" s="101"/>
      <x:c r="D11" s="101"/>
      <x:c r="E11" s="101"/>
      <x:c r="F11" s="101"/>
      <x:c r="G11" s="101"/>
      <x:c r="H11" s="101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19" t="str">
        <x:v>Análisis ejecutados</x:v>
      </x:c>
      <x:c r="B14" s="20"/>
      <x:c r="C14" s="20"/>
      <x:c r="D14" s="20"/>
      <x:c r="E14" s="20"/>
      <x:c r="F14" s="20"/>
      <x:c r="G14" s="20"/>
      <x:c r="H14" s="21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6" t="str">
        <x:v>Bloque</x:v>
      </x:c>
      <x:c r="B15" s="27" t="str">
        <x:v>Procedimiento</x:v>
      </x:c>
      <x:c r="C15" s="28" t="str">
        <x:v>Finalidad</x:v>
      </x:c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32" t="str">
        <x:v>Principal</x:v>
      </x:c>
      <x:c r="B16" s="97" t="str">
        <x:v>t emparejada bilateral</x:v>
      </x:c>
      <x:c r="C16" s="97" t="str">
        <x:v>Contrastar la diferencia media B − A.</x:v>
      </x:c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36" t="str">
        <x:v>Incertidumbre</x:v>
      </x:c>
      <x:c r="B17" s="99" t="str">
        <x:v>IC 95 % t y bootstrap BCa</x:v>
      </x:c>
      <x:c r="C17" s="99" t="str">
        <x:v>Comprobar sensibilidad a la no normalidad.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36" t="str">
        <x:v>Aleatorización</x:v>
      </x:c>
      <x:c r="B18" s="99" t="str">
        <x:v>Permutación emparejada por cambio de signo</x:v>
      </x:c>
      <x:c r="C18" s="99" t="str">
        <x:v>Contraste robusto de la diferencia media.</x:v>
      </x:c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36" t="str">
        <x:v>Distribución</x:v>
      </x:c>
      <x:c r="B19" s="99" t="str">
        <x:v>Wilcoxon y prueba de signos</x:v>
      </x:c>
      <x:c r="C19" s="99" t="str">
        <x:v>Evaluar desplazamiento y predominio año a año.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36" t="str">
        <x:v>Dependencia temporal</x:v>
      </x:c>
      <x:c r="B20" s="99" t="str">
        <x:v>HAC/Newey–West y bootstrap circular por bloques</x:v>
      </x:c>
      <x:c r="C20" s="99" t="str">
        <x:v>Corregir dependencia serial de corto alcance.</x:v>
      </x:c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36" t="str">
        <x:v>Autocorrelación</x:v>
      </x:c>
      <x:c r="B21" s="99" t="str">
        <x:v>ACF(1) y Ljung–Box a 10 rezagos</x:v>
      </x:c>
      <x:c r="C21" s="99" t="str">
        <x:v>Comprobar estructura temporal residual.</x:v>
      </x:c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36" t="str">
        <x:v>Solapamiento</x:v>
      </x:c>
      <x:c r="B22" s="99" t="str">
        <x:v>Análisis por 0, 1, 2 y 3 días compartidos</x:v>
      </x:c>
      <x:c r="C22" s="99" t="str">
        <x:v>Cuantificar la compresión mecánica de la diferencia.</x:v>
      </x:c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36" t="str">
        <x:v>Tendencia</x:v>
      </x:c>
      <x:c r="B23" s="99" t="str">
        <x:v>Regresión de B − A frente al año</x:v>
      </x:c>
      <x:c r="C23" s="99" t="str">
        <x:v>Detectar cambio secular de la diferencia.</x:v>
      </x:c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40" t="str">
        <x:v>Multiplicidad</x:v>
      </x:c>
      <x:c r="B24" s="101" t="str">
        <x:v>Ajuste de Holm</x:v>
      </x:c>
      <x:c r="C24" s="101" t="str">
        <x:v>Controlar el error familiar de las variables continuas y los umbrales.</x:v>
      </x:c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19" t="str">
        <x:v>Parámetros de reproducibilidad</x:v>
      </x:c>
      <x:c r="B27" s="20"/>
      <x:c r="C27" s="20"/>
      <x:c r="D27" s="20"/>
      <x:c r="E27" s="20"/>
      <x:c r="F27" s="20"/>
      <x:c r="G27" s="20"/>
      <x:c r="H27" s="21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96" t="str">
        <x:v>Archivo fuente</x:v>
      </x:c>
      <x:c r="B28" s="97" t="str">
        <x:v>Comparacion_climatologica_Castalla_A_vs_B.xlsx</x:v>
      </x:c>
      <x:c r="C28" s="97"/>
      <x:c r="D28" s="97"/>
      <x:c r="E28" s="97"/>
      <x:c r="F28" s="97"/>
      <x:c r="G28" s="97"/>
      <x:c r="H28" s="97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98" t="str">
        <x:v>SHA-256</x:v>
      </x:c>
      <x:c r="B29" s="99" t="str">
        <x:v>d1a7b7f7ef166937983baf9b13faca6021952d124339c97535e863dfe2f21cb1</x:v>
      </x:c>
      <x:c r="C29" s="99"/>
      <x:c r="D29" s="99"/>
      <x:c r="E29" s="99"/>
      <x:c r="F29" s="99"/>
      <x:c r="G29" s="99"/>
      <x:c r="H29" s="99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98" t="str">
        <x:v>Periodo</x:v>
      </x:c>
      <x:c r="B30" s="99" t="str">
        <x:v>1950–2025</x:v>
      </x:c>
      <x:c r="C30" s="99"/>
      <x:c r="D30" s="99"/>
      <x:c r="E30" s="99"/>
      <x:c r="F30" s="99"/>
      <x:c r="G30" s="99"/>
      <x:c r="H30" s="99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98" t="str">
        <x:v>Años</x:v>
      </x:c>
      <x:c r="B31" s="99" t="n">
        <x:v>76</x:v>
      </x:c>
      <x:c r="C31" s="99"/>
      <x:c r="D31" s="99"/>
      <x:c r="E31" s="99"/>
      <x:c r="F31" s="99"/>
      <x:c r="G31" s="99"/>
      <x:c r="H31" s="99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98" t="str">
        <x:v>Semilla</x:v>
      </x:c>
      <x:c r="B32" s="99" t="n">
        <x:v>20260922</x:v>
      </x:c>
      <x:c r="C32" s="99"/>
      <x:c r="D32" s="99"/>
      <x:c r="E32" s="99"/>
      <x:c r="F32" s="99"/>
      <x:c r="G32" s="99"/>
      <x:c r="H32" s="99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98" t="str">
        <x:v>Permutaciones</x:v>
      </x:c>
      <x:c r="B33" s="99" t="n">
        <x:v>1000000</x:v>
      </x:c>
      <x:c r="C33" s="99"/>
      <x:c r="D33" s="99"/>
      <x:c r="E33" s="99"/>
      <x:c r="F33" s="99"/>
      <x:c r="G33" s="99"/>
      <x:c r="H33" s="99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98" t="str">
        <x:v>Remuestreos bootstrap</x:v>
      </x:c>
      <x:c r="B34" s="99" t="n">
        <x:v>100000</x:v>
      </x:c>
      <x:c r="C34" s="99"/>
      <x:c r="D34" s="99"/>
      <x:c r="E34" s="99"/>
      <x:c r="F34" s="99"/>
      <x:c r="G34" s="99"/>
      <x:c r="H34" s="99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98" t="str">
        <x:v>Longitud de bloque</x:v>
      </x:c>
      <x:c r="B35" s="99" t="str">
        <x:v>5 años</x:v>
      </x:c>
      <x:c r="C35" s="99"/>
      <x:c r="D35" s="99"/>
      <x:c r="E35" s="99"/>
      <x:c r="F35" s="99"/>
      <x:c r="G35" s="99"/>
      <x:c r="H35" s="99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100" t="str">
        <x:v>Software</x:v>
      </x:c>
      <x:c r="B36" s="101" t="str">
        <x:v>Python 3.12.14; NumPy 2.3.5; pandas 2.2.3; SciPy 1.17.0</x:v>
      </x:c>
      <x:c r="C36" s="101"/>
      <x:c r="D36" s="101"/>
      <x:c r="E36" s="101"/>
      <x:c r="F36" s="101"/>
      <x:c r="G36" s="101"/>
      <x:c r="H36" s="101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19" t="str">
        <x:v>Limitaciones e interpretación</x:v>
      </x:c>
      <x:c r="B39" s="20"/>
      <x:c r="C39" s="20"/>
      <x:c r="D39" s="20"/>
      <x:c r="E39" s="20"/>
      <x:c r="F39" s="20"/>
      <x:c r="G39" s="20"/>
      <x:c r="H39" s="21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32" customHeight="1">
      <x:c r="A40" s="103" t="str">
        <x:v>La hipótesis inferencial se formalizó después de observar los resúmenes descriptivos. Por ello el contraste principal es bilateral; el resultado debe considerarse confirmación interna, no una validación independiente.</x:v>
      </x:c>
      <x:c r="B40" s="104"/>
      <x:c r="C40" s="104"/>
      <x:c r="D40" s="104"/>
      <x:c r="E40" s="104"/>
      <x:c r="F40" s="104"/>
      <x:c r="G40" s="104"/>
      <x:c r="H40" s="105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32" customHeight="1">
      <x:c r="A41" s="106" t="str">
        <x:v>Los años se tratan como realizaciones de un proceso climático. No constituyen una muestra aleatoria simple y el clima puede no ser estacionario.</x:v>
      </x:c>
      <x:c r="B41" s="102"/>
      <x:c r="C41" s="102"/>
      <x:c r="D41" s="102"/>
      <x:c r="E41" s="102"/>
      <x:c r="F41" s="102"/>
      <x:c r="G41" s="102"/>
      <x:c r="H41" s="107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32" customHeight="1">
      <x:c r="A42" s="106" t="str">
        <x:v>ERA5-Land es un producto de reanálisis. Incorpora incertidumbre de modelo y no equivale a una serie instrumental local independiente.</x:v>
      </x:c>
      <x:c r="B42" s="102"/>
      <x:c r="C42" s="102"/>
      <x:c r="D42" s="102"/>
      <x:c r="E42" s="102"/>
      <x:c r="F42" s="102"/>
      <x:c r="G42" s="102"/>
      <x:c r="H42" s="107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32" customHeight="1">
      <x:c r="A43" s="106" t="str">
        <x:v>El solapamiento reutiliza hasta tres días idénticos en A y B. No invalida la comparación definida, pero reduce mecánicamente la diferencia y su variabilidad.</x:v>
      </x:c>
      <x:c r="B43" s="102"/>
      <x:c r="C43" s="102"/>
      <x:c r="D43" s="102"/>
      <x:c r="E43" s="102"/>
      <x:c r="F43" s="102"/>
      <x:c r="G43" s="102"/>
      <x:c r="H43" s="107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32" customHeight="1">
      <x:c r="A44" s="106" t="str">
        <x:v>Una diferencia media positiva no significa que B fuera más cálido en la mayoría de los años ni que el efecto sea causal.</x:v>
      </x:c>
      <x:c r="B44" s="102"/>
      <x:c r="C44" s="102"/>
      <x:c r="D44" s="102"/>
      <x:c r="E44" s="102"/>
      <x:c r="F44" s="102"/>
      <x:c r="G44" s="102"/>
      <x:c r="H44" s="107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32" customHeight="1">
      <x:c r="A45" s="108" t="str">
        <x:v>Las probabilidades de superar umbrales se analizaron con McNemar exacto y bootstrap pareado; constituyen resultados secundarios.</x:v>
      </x:c>
      <x:c r="B45" s="109"/>
      <x:c r="C45" s="109"/>
      <x:c r="D45" s="109"/>
      <x:c r="E45" s="109"/>
      <x:c r="F45" s="109"/>
      <x:c r="G45" s="109"/>
      <x:c r="H45" s="110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</x:sheetData>
  <x:mergeCells>
    <x:mergeCell ref="A40:H40"/>
    <x:mergeCell ref="A41:H41"/>
    <x:mergeCell ref="A42:H42"/>
    <x:mergeCell ref="A43:H43"/>
    <x:mergeCell ref="A44:H44"/>
    <x:mergeCell ref="A45:H45"/>
  </x:mergeCells>
  <x:pageMargins left="0.7" right="0.7" top="0.75" bottom="0.75" header="0.3" footer="0.3"/>
</x:worksheet>
</file>