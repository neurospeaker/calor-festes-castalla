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78bd26e7e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lusión" sheetId="1" r:id="R726335e9b7a84563"/>
    <x:sheet xmlns:r="http://schemas.openxmlformats.org/officeDocument/2006/relationships" name="Resultados" sheetId="2" r:id="Rfdae89b1f9be4443"/>
    <x:sheet xmlns:r="http://schemas.openxmlformats.org/officeDocument/2006/relationships" name="Sensibilidad" sheetId="3" r:id="Rd53cb1d6932940b4"/>
    <x:sheet xmlns:r="http://schemas.openxmlformats.org/officeDocument/2006/relationships" name="Ventanas históricas" sheetId="4" r:id="Rea364466438b4b71"/>
    <x:sheet xmlns:r="http://schemas.openxmlformats.org/officeDocument/2006/relationships" name="Datos anuales" sheetId="5" r:id="R9b991d3ab4a940e4"/>
    <x:sheet xmlns:r="http://schemas.openxmlformats.org/officeDocument/2006/relationships" name="Método" sheetId="6" r:id="Ra67c78ca6aab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"/>
    <x:numFmt numFmtId="202" formatCode="0.0000"/>
    <x:numFmt numFmtId="203" formatCode="0.0%"/>
  </x:numFmts>
  <x:fonts count="9">
    <x:font>
      <x:sz val="11"/>
      <x:name val="Carlito"/>
    </x:font>
    <x:font>
      <x:b/>
      <x:sz val="15"/>
      <x:color rgb="FF1F4E78"/>
      <x:name val="Arial"/>
    </x:font>
    <x:font>
      <x:i/>
      <x:sz val="9"/>
      <x:color rgb="FF52606D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sz val="10"/>
      <x:name val="Arial"/>
    </x:font>
    <x:font>
      <x:i/>
      <x:sz val="10"/>
      <x:color rgb="FF52606D"/>
      <x:name val="Arial"/>
    </x:font>
    <x:font>
      <x:b/>
      <x:sz val="11"/>
      <x:color rgb="FF1F4E78"/>
      <x:name val="Arial"/>
    </x:font>
    <x:font>
      <x:b/>
      <x:sz val="10"/>
      <x:color rgb="FF8A5A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center" vertical="center"/>
    </x:xf>
    <x:xf numFmtId="200" fontId="5" fillId="0" borderId="3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3" borderId="2" xfId="0" applyNumberFormat="1" applyFont="1" applyFill="1" applyBorder="1" applyAlignment="1">
      <x:alignment vertical="center"/>
    </x:xf>
    <x:xf numFmtId="201" fontId="5" fillId="3" borderId="3" xfId="0" applyNumberFormat="1" applyFont="1" applyFill="1" applyBorder="1" applyAlignment="1">
      <x:alignment vertical="center"/>
    </x:xf>
    <x:xf numFmtId="201" fontId="5" fillId="3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202" fontId="0" fillId="0" borderId="4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3" fontId="5" fillId="0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3" fontId="5" fillId="0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7" fillId="3" borderId="14" xfId="0" applyNumberFormat="1" applyFont="1" applyFill="1" applyBorder="1"/>
    <x:xf numFmtId="0" fontId="7" fillId="3" borderId="15" xfId="0" applyNumberFormat="1" applyFont="1" applyFill="1" applyBorder="1"/>
    <x:xf numFmtId="0" fontId="7" fillId="3" borderId="8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10" xfId="0" applyNumberFormat="1" applyFont="1" applyFill="1" applyBorder="1" applyAlignment="1">
      <x:alignment wrapText="1"/>
    </x:xf>
    <x:xf numFmtId="0" fontId="7" fillId="3" borderId="1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wrapText="1"/>
    </x:xf>
    <x:xf numFmtId="0" fontId="7" fillId="3" borderId="14" xfId="0" applyNumberFormat="1" applyFont="1" applyFill="1" applyBorder="1" applyAlignment="1">
      <x:alignment wrapText="1"/>
    </x:xf>
    <x:xf numFmtId="0" fontId="7" fillId="3" borderId="15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2" xfId="0" applyNumberFormat="1" applyFont="1" applyFill="1" applyBorder="1" applyAlignment="1">
      <x:alignment vertical="center" wrapText="1"/>
    </x:xf>
    <x:xf numFmtId="0" fontId="7" fillId="3" borderId="13" xfId="0" applyNumberFormat="1" applyFont="1" applyFill="1" applyBorder="1" applyAlignment="1">
      <x:alignment vertical="center" wrapText="1"/>
    </x:xf>
    <x:xf numFmtId="0" fontId="7" fillId="3" borderId="14" xfId="0" applyNumberFormat="1" applyFont="1" applyFill="1" applyBorder="1" applyAlignment="1">
      <x:alignment vertical="center" wrapText="1"/>
    </x:xf>
    <x:xf numFmtId="0" fontId="7" fillId="3" borderId="1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202" fontId="0" fillId="0" borderId="10" xfId="0" applyNumberFormat="1" applyFont="1" applyFill="1" applyBorder="1"/>
    <x:xf numFmtId="202" fontId="0" fillId="0" borderId="12" xfId="0" applyNumberFormat="1" applyFont="1" applyFill="1" applyBorder="1"/>
    <x:xf numFmtId="0" fontId="0" fillId="5" borderId="15" xfId="0" applyNumberFormat="1" applyFont="1" applyFill="1" applyBorder="1"/>
    <x:xf numFmtId="0" fontId="8" fillId="5" borderId="15" xfId="0" applyNumberFormat="1" applyFont="1" applyFill="1" applyBorder="1"/>
    <x:xf numFmtId="0" fontId="8" fillId="5" borderId="15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203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5" fillId="0" borderId="8" xfId="0" applyNumberFormat="1" applyFont="1" applyFill="1" applyBorder="1"/>
    <x:xf numFmtId="202" fontId="5" fillId="0" borderId="10" xfId="0" applyNumberFormat="1" applyFont="1" applyFill="1" applyBorder="1"/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/>
    <x:xf numFmtId="202" fontId="5" fillId="0" borderId="12" xfId="0" applyNumberFormat="1" applyFont="1" applyFill="1" applyBorder="1"/>
    <x:xf numFmtId="0" fontId="4" fillId="3" borderId="1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vertical="center" wrapText="1"/>
    </x:xf>
    <x:xf numFmtId="0" fontId="4" fillId="3" borderId="15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202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8" fillId="5" borderId="15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/>
    </x:xf>
    <x:xf numFmtId="201" fontId="0" fillId="3" borderId="2" xfId="0" applyNumberFormat="1" applyFont="1" applyFill="1" applyBorder="1" applyAlignment="1">
      <x:alignment vertical="center"/>
    </x:xf>
    <x:xf numFmtId="202" fontId="0" fillId="3" borderId="2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201" fontId="0" fillId="3" borderId="3" xfId="0" applyNumberFormat="1" applyFont="1" applyFill="1" applyBorder="1" applyAlignment="1">
      <x:alignment vertical="center"/>
    </x:xf>
    <x:xf numFmtId="202" fontId="0" fillId="3" borderId="3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/>
    </x:xf>
    <x:xf numFmtId="202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202" fontId="5" fillId="3" borderId="3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/>
    </x:xf>
    <x:xf numFmtId="201" fontId="0" fillId="5" borderId="4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/>
    </x:xf>
    <x:xf numFmtId="201" fontId="8" fillId="5" borderId="4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vertical="center"/>
    </x:xf>
    <x:xf numFmtId="0" fontId="8" fillId="5" borderId="6" xfId="0" applyNumberFormat="1" applyFont="1" applyFill="1" applyBorder="1" applyAlignment="1">
      <x:alignment vertical="center"/>
    </x:xf>
    <x:xf numFmtId="201" fontId="8" fillId="5" borderId="6" xfId="0" applyNumberFormat="1" applyFont="1" applyFill="1" applyBorder="1" applyAlignment="1">
      <x:alignment vertical="center"/>
    </x:xf>
    <x:xf numFmtId="201" fontId="8" fillId="5" borderId="7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2E6B35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E6B35"/>
      </x:font>
      <x:fill>
        <x:patternFill patternType="solid">
          <x:bgColor rgb="FFE2F0D9"/>
        </x:patternFill>
      </x:fill>
    </x:dxf>
    <x:dxf>
      <x:font>
        <x:color rgb="FF8A5A00"/>
      </x:font>
      <x:fill>
        <x:patternFill patternType="solid">
          <x:bgColor rgb="FFFFF2CC"/>
        </x:patternFill>
      </x:fill>
    </x:dxf>
    <x:dxf>
      <x:font>
        <x:color rgb="FF2E6B35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2E6B35"/>
      </x:font>
      <x:fill>
        <x:patternFill patternType="solid">
          <x:bgColor rgb="FFE2F0D9"/>
        </x:patternFill>
      </x:fill>
    </x:dxf>
    <x:dxf>
      <x:font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b260be33a4a25" /><Relationship Type="http://schemas.openxmlformats.org/officeDocument/2006/relationships/theme" Target="/xl/theme/theme1.xml" Id="R59f7946903134a71" /><Relationship Type="http://schemas.openxmlformats.org/officeDocument/2006/relationships/sharedStrings" Target="/xl/sharedStrings.xml" Id="R29f882110fb9493c" /><Relationship Type="http://schemas.openxmlformats.org/officeDocument/2006/relationships/worksheet" Target="/xl/worksheets/sheet1.xml" Id="R726335e9b7a84563" /><Relationship Type="http://schemas.openxmlformats.org/officeDocument/2006/relationships/worksheet" Target="/xl/worksheets/sheet2.xml" Id="Rfdae89b1f9be4443" /><Relationship Type="http://schemas.openxmlformats.org/officeDocument/2006/relationships/worksheet" Target="/xl/worksheets/sheet3.xml" Id="Rd53cb1d6932940b4" /><Relationship Type="http://schemas.openxmlformats.org/officeDocument/2006/relationships/worksheet" Target="/xl/worksheets/sheet4.xml" Id="Rea364466438b4b71" /><Relationship Type="http://schemas.openxmlformats.org/officeDocument/2006/relationships/worksheet" Target="/xl/worksheets/sheet5.xml" Id="R9b991d3ab4a940e4" /><Relationship Type="http://schemas.openxmlformats.org/officeDocument/2006/relationships/worksheet" Target="/xl/worksheets/sheet6.xml" Id="Ra67c78ca6aab43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5ba71e69fb423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e8206b944ba47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Aumento reciente respecto a 1950–2019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Cambio A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'Conclusión'!$A$12:$A$15</c:f>
              <c:strCache>
                <c:ptCount val="0"/>
              </c:strCache>
            </c:strRef>
          </c:cat>
          <c:val>
            <c:numRef>
              <c:f>'Conclusión'!$B$12:$B$15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Cambio B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'Conclusión'!$A$12:$A$15</c:f>
              <c:strCache>
                <c:ptCount val="0"/>
              </c:strCache>
            </c:strRef>
          </c:cat>
          <c:val>
            <c:numRef>
              <c:f>'Conclusión'!$C$12:$C$15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Ventanas de seis años: cambio diferencial ajustado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Temperatura media</c:v>
          </c:tx>
          <c:spPr>
            <a:ln xmlns:a="http://schemas.openxmlformats.org/drawingml/2006/main" w="19050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Ref>
              <c:f>'Ventanas históricas'!$C$6:$C$71</c:f>
              <c:strCache>
                <c:ptCount val="0"/>
              </c:strCache>
            </c:strRef>
          </c:cat>
          <c:val>
            <c:numRef>
              <c:f>'Ventanas históricas'!$D$6:$D$71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Máxima diurna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'Ventanas históricas'!$C$6:$C$71</c:f>
              <c:strCache>
                <c:ptCount val="0"/>
              </c:strCache>
            </c:strRef>
          </c:cat>
          <c:val>
            <c:numRef>
              <c:f>'Ventanas históricas'!$E$6:$E$71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10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5ba71e69fb423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8206b944ba474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abd0e3e9a64e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dc204d46db84bc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6" hidden="0" customWidth="1"/>
    <x:col min="13" max="13" width="24" hidden="0" customWidth="1"/>
    <x:col min="14" max="14" width="25" hidden="0" customWidth="1"/>
  </x:cols>
  <x:sheetData>
    <x:row r="2">
      <x:c r="A2" s="187" t="str">
        <x:v>Castalla: cambio diferencial reciente entre B y A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</x:row>
    <x:row r="4">
      <x:c r="A4" s="14" t="str">
        <x:v>A: 1–4 de septiembre. B: último viernes de agosto y los tres días siguientes. Serie 1950–2025. Análisis principal: 2020–2025 (seis años).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3"/>
      <x:c r="M4" s="138" t="str">
        <x:v>Prueba global 2020–2025</x:v>
      </x:c>
      <x:c r="N4" s="138"/>
      <x:c r="O4" s="13"/>
      <x:c r="P4" s="13"/>
      <x:c r="Q4" s="13"/>
      <x:c r="R4" s="13"/>
      <x:c r="S4" s="13"/>
      <x:c r="T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9" t="str">
        <x:v>Exacta maxT</x:v>
      </x:c>
      <x:c r="N5" s="140" t="n">
        <x:f>'Resultados'!C32</x:f>
        <x:v>0.05588105631135479</x:v>
      </x:c>
      <x:c r="O5" s="13"/>
      <x:c r="P5" s="13"/>
      <x:c r="Q5" s="13"/>
      <x:c r="R5" s="13"/>
      <x:c r="S5" s="13"/>
      <x:c r="T5" s="13"/>
    </x:row>
    <x:row r="6">
      <x:c r="A6" s="126" t="str">
        <x:v>Conclusión: la hipótesis formulada para las cuatro variables no queda confirmada. En 2020–2025 B aumentó más que A en temperatura media, máxima diurna y temperatura aparente, pero no en mínima nocturna. La máxima diurna muestra una señal fuerte, aunque queda en el umbral tras la permutación exacta con corrección maxT y pierde significación en la ventana estricta de cinco años.</x:v>
      </x:c>
      <x:c r="B6" s="127"/>
      <x:c r="C6" s="127"/>
      <x:c r="D6" s="127"/>
      <x:c r="E6" s="127"/>
      <x:c r="F6" s="127"/>
      <x:c r="G6" s="127"/>
      <x:c r="H6" s="127"/>
      <x:c r="I6" s="127"/>
      <x:c r="J6" s="127"/>
      <x:c r="K6" s="128"/>
      <x:c r="L6" s="13"/>
      <x:c r="M6" s="141" t="str">
        <x:v>Bootstrap maxT</x:v>
      </x:c>
      <x:c r="N6" s="142" t="n">
        <x:f>'Resultados'!D32</x:f>
        <x:v>0.020898955052247387</x:v>
      </x:c>
      <x:c r="O6" s="13"/>
      <x:c r="P6" s="13"/>
      <x:c r="Q6" s="13"/>
      <x:c r="R6" s="13"/>
      <x:c r="S6" s="13"/>
      <x:c r="T6" s="13"/>
    </x:row>
    <x:row r="7">
      <x:c r="A7" s="131"/>
      <x:c r="B7" s="132"/>
      <x:c r="C7" s="132"/>
      <x:c r="D7" s="132"/>
      <x:c r="E7" s="132"/>
      <x:c r="F7" s="132"/>
      <x:c r="G7" s="132"/>
      <x:c r="H7" s="132"/>
      <x:c r="I7" s="132"/>
      <x:c r="J7" s="132"/>
      <x:c r="K7" s="133"/>
      <x:c r="L7" s="13"/>
      <x:c r="M7" s="141" t="str">
        <x:v>Ventana 2021–2025</x:v>
      </x:c>
      <x:c r="N7" s="142" t="n">
        <x:f>'Resultados'!C33</x:f>
        <x:v>0.2063998360767707</x:v>
      </x:c>
      <x:c r="O7" s="13"/>
      <x:c r="P7" s="13"/>
      <x:c r="Q7" s="13"/>
      <x:c r="R7" s="13"/>
      <x:c r="S7" s="13"/>
      <x:c r="T7" s="13"/>
    </x:row>
    <x:row r="8">
      <x:c r="A8" s="134"/>
      <x:c r="B8" s="135"/>
      <x:c r="C8" s="135"/>
      <x:c r="D8" s="135"/>
      <x:c r="E8" s="135"/>
      <x:c r="F8" s="135"/>
      <x:c r="G8" s="135"/>
      <x:c r="H8" s="135"/>
      <x:c r="I8" s="135"/>
      <x:c r="J8" s="135"/>
      <x:c r="K8" s="136"/>
      <x:c r="L8" s="13"/>
      <x:c r="M8" s="143" t="str">
        <x:v>Veredicto</x:v>
      </x:c>
      <x:c r="N8" s="144" t="str">
        <x:v>No confirma las cuatro variables</x:v>
      </x:c>
      <x:c r="O8" s="13"/>
      <x:c r="P8" s="13"/>
      <x:c r="Q8" s="13"/>
      <x:c r="R8" s="13"/>
      <x:c r="S8" s="13"/>
      <x:c r="T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</x:row>
    <x:row r="11" ht="30" customHeight="1">
      <x:c r="A11" s="8" t="str">
        <x:v>Variable</x:v>
      </x:c>
      <x:c r="B11" s="8" t="str">
        <x:v>Cambio A</x:v>
      </x:c>
      <x:c r="C11" s="8" t="str">
        <x:v>Cambio B</x:v>
      </x:c>
      <x:c r="D11" s="8" t="str">
        <x:v>DiD sin ajustar</x:v>
      </x:c>
      <x:c r="E11" s="8" t="str">
        <x:v>DiD ajustada</x:v>
      </x:c>
      <x:c r="F11" s="8" t="str">
        <x:v>IC bajo</x:v>
      </x:c>
      <x:c r="G11" s="8" t="str">
        <x:v>IC alto</x:v>
      </x:c>
      <x:c r="H11" s="8" t="str">
        <x:v>p exacta maxT</x:v>
      </x:c>
      <x:c r="I11" s="8" t="str">
        <x:v>p bootstrap maxT</x:v>
      </x:c>
      <x:c r="J11" s="8" t="str">
        <x:v>Percentil ventanas</x:v>
      </x:c>
      <x:c r="K11" s="8" t="str">
        <x:v>Interpretación</x:v>
      </x:c>
      <x:c r="L11" s="13"/>
      <x:c r="M11" s="13"/>
      <x:c r="N11" s="13"/>
      <x:c r="O11" s="13"/>
      <x:c r="P11" s="13"/>
      <x:c r="Q11" s="13"/>
      <x:c r="R11" s="13"/>
      <x:c r="S11" s="13"/>
      <x:c r="T11" s="13"/>
    </x:row>
    <x:row r="12" ht="30" customHeight="1">
      <x:c r="A12" s="61" t="str">
        <x:f>'Resultados'!A8</x:f>
        <x:v>Temperatura media</x:v>
      </x:c>
      <x:c r="B12" s="21" t="n">
        <x:f>'Resultados'!D8</x:f>
        <x:v>0.85246031746032</x:v>
      </x:c>
      <x:c r="C12" s="21" t="n">
        <x:f>'Resultados'!G8</x:f>
        <x:v>1.9440277777777695</x:v>
      </x:c>
      <x:c r="D12" s="21" t="n">
        <x:f>'Resultados'!H8</x:f>
        <x:v>1.0915674603174494</x:v>
      </x:c>
      <x:c r="E12" s="21" t="n">
        <x:f>'Resultados'!I8</x:f>
        <x:v>0.9429070216049364</x:v>
      </x:c>
      <x:c r="F12" s="21" t="n">
        <x:f>'Resultados'!J8</x:f>
        <x:v>-0.39416782939336037</x:v>
      </x:c>
      <x:c r="G12" s="21" t="n">
        <x:f>'Resultados'!K8</x:f>
        <x:v>2.1924308984704135</x:v>
      </x:c>
      <x:c r="H12" s="62" t="n">
        <x:f>'Resultados'!M8</x:f>
        <x:v>0.2808029754549801</x:v>
      </x:c>
      <x:c r="I12" s="62" t="n">
        <x:f>'Resultados'!O8</x:f>
        <x:v>0.22098895055247236</x:v>
      </x:c>
      <x:c r="J12" s="63" t="n">
        <x:f>'Resultados'!P8</x:f>
        <x:v>0.923076923076923</x:v>
      </x:c>
      <x:c r="K12" s="64" t="str">
        <x:f>'Resultados'!Q8</x:f>
        <x:v>Aumento estimado; evidencia insuficiente</x:v>
      </x:c>
      <x:c r="L12" s="13"/>
      <x:c r="M12" s="13"/>
      <x:c r="N12" s="13"/>
      <x:c r="O12" s="13"/>
      <x:c r="P12" s="13"/>
      <x:c r="Q12" s="13"/>
      <x:c r="R12" s="13"/>
      <x:c r="S12" s="13"/>
      <x:c r="T12" s="13"/>
    </x:row>
    <x:row r="13" ht="30" customHeight="1">
      <x:c r="A13" s="65" t="str">
        <x:f>'Resultados'!A9</x:f>
        <x:v>Máxima diurna</x:v>
      </x:c>
      <x:c r="B13" s="24" t="n">
        <x:f>'Resultados'!D9</x:f>
        <x:v>0.10000000000000142</x:v>
      </x:c>
      <x:c r="C13" s="24" t="n">
        <x:f>'Resultados'!G9</x:f>
        <x:v>3.274761904761899</x:v>
      </x:c>
      <x:c r="D13" s="24" t="n">
        <x:f>'Resultados'!H9</x:f>
        <x:v>3.1747619047618976</x:v>
      </x:c>
      <x:c r="E13" s="24" t="n">
        <x:f>'Resultados'!I9</x:f>
        <x:v>2.8696296296296286</x:v>
      </x:c>
      <x:c r="F13" s="24" t="n">
        <x:f>'Resultados'!J9</x:f>
        <x:v>1.0777122751760846</x:v>
      </x:c>
      <x:c r="G13" s="24" t="n">
        <x:f>'Resultados'!K9</x:f>
        <x:v>4.81213893444606</x:v>
      </x:c>
      <x:c r="H13" s="66" t="n">
        <x:f>'Resultados'!M9</x:f>
        <x:v>0.05588105631135479</x:v>
      </x:c>
      <x:c r="I13" s="66" t="n">
        <x:f>'Resultados'!O9</x:f>
        <x:v>0.020898955052247387</x:v>
      </x:c>
      <x:c r="J13" s="67" t="n">
        <x:f>'Resultados'!P9</x:f>
        <x:v>0.9846153846153847</x:v>
      </x:c>
      <x:c r="K13" s="68" t="str">
        <x:f>'Resultados'!Q9</x:f>
        <x:v>Señal fuerte; no confirma todos los criterios</x:v>
      </x:c>
      <x:c r="L13" s="13"/>
      <x:c r="M13" s="13"/>
      <x:c r="N13" s="13"/>
      <x:c r="O13" s="13"/>
      <x:c r="P13" s="13"/>
      <x:c r="Q13" s="13"/>
      <x:c r="R13" s="13"/>
      <x:c r="S13" s="13"/>
      <x:c r="T13" s="13"/>
    </x:row>
    <x:row r="14" ht="30" customHeight="1">
      <x:c r="A14" s="65" t="str">
        <x:f>'Resultados'!A10</x:f>
        <x:v>Mínima nocturna</x:v>
      </x:c>
      <x:c r="B14" s="24" t="n">
        <x:f>'Resultados'!D10</x:f>
        <x:v>1.428095238095235</x:v>
      </x:c>
      <x:c r="C14" s="24" t="n">
        <x:f>'Resultados'!G10</x:f>
        <x:v>1.345714285714287</x:v>
      </x:c>
      <x:c r="D14" s="24" t="n">
        <x:f>'Resultados'!H10</x:f>
        <x:v>-0.082380952380948</x:v>
      </x:c>
      <x:c r="E14" s="24" t="n">
        <x:f>'Resultados'!I10</x:f>
        <x:v>-0.2559259259259259</x:v>
      </x:c>
      <x:c r="F14" s="24" t="n">
        <x:f>'Resultados'!J10</x:f>
        <x:v>-1.9160981112346143</x:v>
      </x:c>
      <x:c r="G14" s="24" t="n">
        <x:f>'Resultados'!K10</x:f>
        <x:v>1.2544053129222552</x:v>
      </x:c>
      <x:c r="H14" s="66" t="n">
        <x:f>'Resultados'!M10</x:f>
        <x:v>0.8232522617059193</x:v>
      </x:c>
      <x:c r="I14" s="66" t="n">
        <x:f>'Resultados'!O10</x:f>
        <x:v>0.8387580620968952</x:v>
      </x:c>
      <x:c r="J14" s="67" t="n">
        <x:f>'Resultados'!P10</x:f>
        <x:v>0.3692307692307692</x:v>
      </x:c>
      <x:c r="K14" s="68" t="str">
        <x:f>'Resultados'!Q10</x:f>
        <x:v>Sin evidencia de aumento diferencial</x:v>
      </x:c>
      <x:c r="L14" s="13"/>
      <x:c r="M14" s="13"/>
      <x:c r="N14" s="13"/>
      <x:c r="O14" s="13"/>
      <x:c r="P14" s="13"/>
      <x:c r="Q14" s="13"/>
      <x:c r="R14" s="13"/>
      <x:c r="S14" s="13"/>
      <x:c r="T14" s="13"/>
    </x:row>
    <x:row r="15" ht="30" customHeight="1">
      <x:c r="A15" s="69" t="str">
        <x:f>'Resultados'!A11</x:f>
        <x:v>Temperatura aparente media</x:v>
      </x:c>
      <x:c r="B15" s="27" t="n">
        <x:f>'Resultados'!D11</x:f>
        <x:v>1.1636309523809558</x:v>
      </x:c>
      <x:c r="C15" s="27" t="n">
        <x:f>'Resultados'!G11</x:f>
        <x:v>1.8942212301587311</x:v>
      </x:c>
      <x:c r="D15" s="27" t="n">
        <x:f>'Resultados'!H11</x:f>
        <x:v>0.7305902777777753</x:v>
      </x:c>
      <x:c r="E15" s="27" t="n">
        <x:f>'Resultados'!I11</x:f>
        <x:v>0.5807889660493833</x:v>
      </x:c>
      <x:c r="F15" s="27" t="n">
        <x:f>'Resultados'!J11</x:f>
        <x:v>-0.922583476445972</x:v>
      </x:c>
      <x:c r="G15" s="27" t="n">
        <x:f>'Resultados'!K11</x:f>
        <x:v>1.9384702377042478</x:v>
      </x:c>
      <x:c r="H15" s="70" t="n">
        <x:f>'Resultados'!M11</x:f>
        <x:v>0.45981583473558063</x:v>
      </x:c>
      <x:c r="I15" s="70" t="n">
        <x:f>'Resultados'!O11</x:f>
        <x:v>0.4283285835708215</x:v>
      </x:c>
      <x:c r="J15" s="71" t="n">
        <x:f>'Resultados'!P11</x:f>
        <x:v>0.7230769230769231</x:v>
      </x:c>
      <x:c r="K15" s="72" t="str">
        <x:f>'Resultados'!Q11</x:f>
        <x:v>Aumento estimado; evidencia insuficiente</x:v>
      </x:c>
      <x:c r="L15" s="13"/>
      <x:c r="M15" s="13"/>
      <x:c r="N15" s="13"/>
      <x:c r="O15" s="13"/>
      <x:c r="P15" s="13"/>
      <x:c r="Q15" s="13"/>
      <x:c r="R15" s="13"/>
      <x:c r="S15" s="13"/>
      <x:c r="T15" s="13"/>
    </x:row>
    <x:row r="16" ht="30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</x:row>
    <x:row r="17" ht="30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</x:row>
    <x:row r="18" ht="3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</x:row>
    <x:row r="19" ht="30" customHeight="1">
      <x:c r="A19" s="73" t="str">
        <x:v>Sensibilidad: ventana estricta de cinco años (2021–2025)</x:v>
      </x:c>
      <x:c r="B19" s="74"/>
      <x:c r="C19" s="74"/>
      <x:c r="D19" s="74"/>
      <x:c r="E19" s="74"/>
      <x:c r="F19" s="75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</x:row>
    <x:row r="20" ht="30" customHeight="1">
      <x:c r="A20" s="8" t="str">
        <x:v>Variable</x:v>
      </x:c>
      <x:c r="B20" s="8" t="str">
        <x:v>DiD ajustada</x:v>
      </x:c>
      <x:c r="C20" s="8" t="str">
        <x:v>p exacta maxT</x:v>
      </x:c>
      <x:c r="D20" s="8" t="str">
        <x:v>p bootstrap maxT</x:v>
      </x:c>
      <x:c r="E20" s="8" t="str">
        <x:v>Percentil ventanas</x:v>
      </x:c>
      <x:c r="F20" s="8" t="str">
        <x:v>Interpretación</x:v>
      </x:c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</x:row>
    <x:row r="21" ht="30" customHeight="1">
      <x:c r="A21" s="61" t="str">
        <x:f>'Resultados'!A16</x:f>
        <x:v>Temperatura media</x:v>
      </x:c>
      <x:c r="B21" s="21" t="n">
        <x:f>'Resultados'!I16</x:f>
        <x:v>0.7923425925925907</x:v>
      </x:c>
      <x:c r="C21" s="62" t="n">
        <x:f>'Resultados'!M16</x:f>
        <x:v>0.3720101085991394</x:v>
      </x:c>
      <x:c r="D21" s="62" t="n">
        <x:f>'Resultados'!O16</x:f>
        <x:v>0.3381830908454577</x:v>
      </x:c>
      <x:c r="E21" s="63" t="n">
        <x:f>'Resultados'!P16</x:f>
        <x:v>0.8358208955223881</x:v>
      </x:c>
      <x:c r="F21" s="64" t="str">
        <x:f>'Resultados'!Q16</x:f>
        <x:v>Aumento estimado; evidencia insuficiente</x:v>
      </x:c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</x:row>
    <x:row r="22" ht="30" customHeight="1">
      <x:c r="A22" s="65" t="str">
        <x:f>'Resultados'!A17</x:f>
        <x:v>Máxima diurna</x:v>
      </x:c>
      <x:c r="B22" s="24" t="n">
        <x:f>'Resultados'!I17</x:f>
        <x:v>1.9715555555555546</x:v>
      </x:c>
      <x:c r="C22" s="66" t="n">
        <x:f>'Resultados'!M17</x:f>
        <x:v>0.2063998360767707</x:v>
      </x:c>
      <x:c r="D22" s="66" t="n">
        <x:f>'Resultados'!O17</x:f>
        <x:v>0.15639218039098046</x:v>
      </x:c>
      <x:c r="E22" s="67" t="n">
        <x:f>'Resultados'!P17</x:f>
        <x:v>0.9701492537313433</x:v>
      </x:c>
      <x:c r="F22" s="68" t="str">
        <x:f>'Resultados'!Q17</x:f>
        <x:v>Aumento estimado; evidencia insuficiente</x:v>
      </x:c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</x:row>
    <x:row r="23" ht="30" customHeight="1">
      <x:c r="A23" s="65" t="str">
        <x:f>'Resultados'!A18</x:f>
        <x:v>Mínima nocturna</x:v>
      </x:c>
      <x:c r="B23" s="24" t="n">
        <x:f>'Resultados'!I18</x:f>
        <x:v>-0.009111111111110959</x:v>
      </x:c>
      <x:c r="C23" s="66" t="n">
        <x:f>'Resultados'!M18</x:f>
        <x:v>0.712963595382829</x:v>
      </x:c>
      <x:c r="D23" s="66" t="n">
        <x:f>'Resultados'!O18</x:f>
        <x:v>0.727963601819909</x:v>
      </x:c>
      <x:c r="E23" s="67" t="n">
        <x:f>'Resultados'!P18</x:f>
        <x:v>0.4328358208955224</x:v>
      </x:c>
      <x:c r="F23" s="68" t="str">
        <x:f>'Resultados'!Q18</x:f>
        <x:v>Sin evidencia de aumento diferencial</x:v>
      </x:c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</x:row>
    <x:row r="24" ht="30" customHeight="1">
      <x:c r="A24" s="69" t="str">
        <x:f>'Resultados'!A19</x:f>
        <x:v>Temperatura aparente media</x:v>
      </x:c>
      <x:c r="B24" s="27" t="n">
        <x:f>'Resultados'!I19</x:f>
        <x:v>0.4863217592592598</x:v>
      </x:c>
      <x:c r="C24" s="70" t="n">
        <x:f>'Resultados'!M19</x:f>
        <x:v>0.5175466156683287</x:v>
      </x:c>
      <x:c r="D24" s="70" t="n">
        <x:f>'Resultados'!O19</x:f>
        <x:v>0.5052247387630618</x:v>
      </x:c>
      <x:c r="E24" s="71" t="n">
        <x:f>'Resultados'!P19</x:f>
        <x:v>0.6268656716417911</x:v>
      </x:c>
      <x:c r="F24" s="72" t="str">
        <x:f>'Resultados'!Q19</x:f>
        <x:v>Aumento estimado; evidencia insuficiente</x:v>
      </x:c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</x:row>
  </x:sheetData>
  <x:mergeCells>
    <x:mergeCell ref="A6:K8"/>
  </x:mergeCells>
  <x:pageMargins left="0.7" right="0.7" top="0.75" bottom="0.75" header="0.3" footer="0.3"/>
  <x:drawing xmlns:r="http://schemas.openxmlformats.org/officeDocument/2006/relationships" r:id="R55abd0e3e9a64e8a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36" hidden="0" customWidth="1"/>
  </x:cols>
  <x:sheetData>
    <x:row r="2">
      <x:c r="A2" s="187" t="str">
        <x:v>Resultados estadísticos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4" t="str">
        <x:v>Estimando: (B reciente − B histórico) − (A reciente − A histórico). Valores positivos indican mayor aumento en B.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>
      <x:c r="A6" s="73" t="str">
        <x:v>2020–2025 frente a 1950–2019</x:v>
      </x:c>
      <x:c r="B6" s="74"/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5"/>
    </x:row>
    <x:row r="7" ht="28" customHeight="1">
      <x:c r="A7" s="8" t="str">
        <x:v>Variable</x:v>
      </x:c>
      <x:c r="B7" s="8" t="str">
        <x:v>A histórico</x:v>
      </x:c>
      <x:c r="C7" s="8" t="str">
        <x:v>A reciente</x:v>
      </x:c>
      <x:c r="D7" s="8" t="str">
        <x:v>Cambio A</x:v>
      </x:c>
      <x:c r="E7" s="8" t="str">
        <x:v>B histórico</x:v>
      </x:c>
      <x:c r="F7" s="8" t="str">
        <x:v>B reciente</x:v>
      </x:c>
      <x:c r="G7" s="8" t="str">
        <x:v>Cambio B</x:v>
      </x:c>
      <x:c r="H7" s="8" t="str">
        <x:v>DiD sin ajustar</x:v>
      </x:c>
      <x:c r="I7" s="8" t="str">
        <x:v>DiD ajustada por calendario</x:v>
      </x:c>
      <x:c r="J7" s="8" t="str">
        <x:v>IC 95% bootstrap bajo</x:v>
      </x:c>
      <x:c r="K7" s="8" t="str">
        <x:v>IC 95% bootstrap alto</x:v>
      </x:c>
      <x:c r="L7" s="8" t="str">
        <x:v>p exacta</x:v>
      </x:c>
      <x:c r="M7" s="8" t="str">
        <x:v>p exacta maxT</x:v>
      </x:c>
      <x:c r="N7" s="8" t="str">
        <x:v>p bootstrap</x:v>
      </x:c>
      <x:c r="O7" s="8" t="str">
        <x:v>p bootstrap maxT</x:v>
      </x:c>
      <x:c r="P7" s="8" t="str">
        <x:v>Percentil ventanas</x:v>
      </x:c>
      <x:c r="Q7" s="8" t="str">
        <x:v>Interpretación</x:v>
      </x:c>
    </x:row>
    <x:row r="8" ht="28" customHeight="1">
      <x:c r="A8" s="61" t="str">
        <x:v>Temperatura media</x:v>
      </x:c>
      <x:c r="B8" s="21" t="n">
        <x:v>21.863511904761904</x:v>
      </x:c>
      <x:c r="C8" s="21" t="n">
        <x:v>22.715972222222224</x:v>
      </x:c>
      <x:c r="D8" s="21" t="n">
        <x:f>C8-B8</x:f>
        <x:v>0.85246031746032</x:v>
      </x:c>
      <x:c r="E8" s="21" t="n">
        <x:v>22.49677083333334</x:v>
      </x:c>
      <x:c r="F8" s="21" t="n">
        <x:v>24.44079861111111</x:v>
      </x:c>
      <x:c r="G8" s="21" t="n">
        <x:f>F8-E8</x:f>
        <x:v>1.9440277777777695</x:v>
      </x:c>
      <x:c r="H8" s="21" t="n">
        <x:f>G8-D8</x:f>
        <x:v>1.0915674603174494</x:v>
      </x:c>
      <x:c r="I8" s="21" t="n">
        <x:v>0.9429070216049364</x:v>
      </x:c>
      <x:c r="J8" s="21" t="n">
        <x:v>-0.39416782939336037</x:v>
      </x:c>
      <x:c r="K8" s="21" t="n">
        <x:v>2.1924308984704135</x:v>
      </x:c>
      <x:c r="L8" s="62" t="n">
        <x:v>0.14445734580971245</x:v>
      </x:c>
      <x:c r="M8" s="62" t="n">
        <x:v>0.2808029754549801</x:v>
      </x:c>
      <x:c r="N8" s="62" t="n">
        <x:v>0.09184540772961351</x:v>
      </x:c>
      <x:c r="O8" s="62" t="n">
        <x:v>0.22098895055247236</x:v>
      </x:c>
      <x:c r="P8" s="63" t="n">
        <x:v>0.923076923076923</x:v>
      </x:c>
      <x:c r="Q8" s="64" t="str">
        <x:v>Aumento estimado; evidencia insuficiente</x:v>
      </x:c>
    </x:row>
    <x:row r="9" ht="28" customHeight="1">
      <x:c r="A9" s="65" t="str">
        <x:v>Máxima diurna</x:v>
      </x:c>
      <x:c r="B9" s="24" t="n">
        <x:v>29.4</x:v>
      </x:c>
      <x:c r="C9" s="24" t="n">
        <x:v>29.5</x:v>
      </x:c>
      <x:c r="D9" s="24" t="n">
        <x:f>C9-B9</x:f>
        <x:v>0.10000000000000142</x:v>
      </x:c>
      <x:c r="E9" s="24" t="n">
        <x:v>30.208571428571428</x:v>
      </x:c>
      <x:c r="F9" s="24" t="n">
        <x:v>33.48333333333333</x:v>
      </x:c>
      <x:c r="G9" s="24" t="n">
        <x:f>F9-E9</x:f>
        <x:v>3.274761904761899</x:v>
      </x:c>
      <x:c r="H9" s="24" t="n">
        <x:f>G9-D9</x:f>
        <x:v>3.1747619047618976</x:v>
      </x:c>
      <x:c r="I9" s="24" t="n">
        <x:v>2.8696296296296286</x:v>
      </x:c>
      <x:c r="J9" s="24" t="n">
        <x:v>1.0777122751760846</x:v>
      </x:c>
      <x:c r="K9" s="24" t="n">
        <x:v>4.81213893444606</x:v>
      </x:c>
      <x:c r="L9" s="66" t="n">
        <x:v>0.023786874965073177</x:v>
      </x:c>
      <x:c r="M9" s="66" t="n">
        <x:v>0.05588105631135479</x:v>
      </x:c>
      <x:c r="N9" s="66" t="n">
        <x:v>0.016049197540122993</x:v>
      </x:c>
      <x:c r="O9" s="66" t="n">
        <x:v>0.020898955052247387</x:v>
      </x:c>
      <x:c r="P9" s="67" t="n">
        <x:v>0.9846153846153847</x:v>
      </x:c>
      <x:c r="Q9" s="68" t="str">
        <x:v>Señal fuerte; no confirma todos los criterios</x:v>
      </x:c>
    </x:row>
    <x:row r="10" ht="28" customHeight="1">
      <x:c r="A10" s="65" t="str">
        <x:v>Mínima nocturna</x:v>
      </x:c>
      <x:c r="B10" s="24" t="n">
        <x:v>15.78857142857143</x:v>
      </x:c>
      <x:c r="C10" s="24" t="n">
        <x:v>17.216666666666665</x:v>
      </x:c>
      <x:c r="D10" s="24" t="n">
        <x:f>C10-B10</x:f>
        <x:v>1.428095238095235</x:v>
      </x:c>
      <x:c r="E10" s="24" t="n">
        <x:v>16.404285714285717</x:v>
      </x:c>
      <x:c r="F10" s="24" t="n">
        <x:v>17.750000000000004</x:v>
      </x:c>
      <x:c r="G10" s="24" t="n">
        <x:f>F10-E10</x:f>
        <x:v>1.345714285714287</x:v>
      </x:c>
      <x:c r="H10" s="24" t="n">
        <x:f>G10-D10</x:f>
        <x:v>-0.082380952380948</x:v>
      </x:c>
      <x:c r="I10" s="24" t="n">
        <x:v>-0.2559259259259259</x:v>
      </x:c>
      <x:c r="J10" s="24" t="n">
        <x:v>-1.9160981112346143</x:v>
      </x:c>
      <x:c r="K10" s="24" t="n">
        <x:v>1.2544053129222552</x:v>
      </x:c>
      <x:c r="L10" s="66" t="n">
        <x:v>0.6152516904583021</x:v>
      </x:c>
      <x:c r="M10" s="66" t="n">
        <x:v>0.8232522617059193</x:v>
      </x:c>
      <x:c r="N10" s="66" t="n">
        <x:v>0.6520173991300435</x:v>
      </x:c>
      <x:c r="O10" s="66" t="n">
        <x:v>0.8387580620968952</x:v>
      </x:c>
      <x:c r="P10" s="67" t="n">
        <x:v>0.3692307692307692</x:v>
      </x:c>
      <x:c r="Q10" s="68" t="str">
        <x:v>Sin evidencia de aumento diferencial</x:v>
      </x:c>
    </x:row>
    <x:row r="11" ht="28" customHeight="1">
      <x:c r="A11" s="69" t="str">
        <x:v>Temperatura aparente media</x:v>
      </x:c>
      <x:c r="B11" s="27" t="n">
        <x:v>22.42334821428571</x:v>
      </x:c>
      <x:c r="C11" s="27" t="n">
        <x:v>23.586979166666666</x:v>
      </x:c>
      <x:c r="D11" s="27" t="n">
        <x:f>C11-B11</x:f>
        <x:v>1.1636309523809558</x:v>
      </x:c>
      <x:c r="E11" s="27" t="n">
        <x:v>23.00074404761905</x:v>
      </x:c>
      <x:c r="F11" s="27" t="n">
        <x:v>24.894965277777782</x:v>
      </x:c>
      <x:c r="G11" s="27" t="n">
        <x:f>F11-E11</x:f>
        <x:v>1.8942212301587311</x:v>
      </x:c>
      <x:c r="H11" s="27" t="n">
        <x:f>G11-D11</x:f>
        <x:v>0.7305902777777753</x:v>
      </x:c>
      <x:c r="I11" s="27" t="n">
        <x:v>0.5807889660493833</x:v>
      </x:c>
      <x:c r="J11" s="27" t="n">
        <x:v>-0.922583476445972</x:v>
      </x:c>
      <x:c r="K11" s="27" t="n">
        <x:v>1.9384702377042478</x:v>
      </x:c>
      <x:c r="L11" s="70" t="n">
        <x:v>0.26670247312962975</x:v>
      </x:c>
      <x:c r="M11" s="70" t="n">
        <x:v>0.45981583473558063</x:v>
      </x:c>
      <x:c r="N11" s="70" t="n">
        <x:v>0.2511374431278436</x:v>
      </x:c>
      <x:c r="O11" s="70" t="n">
        <x:v>0.4283285835708215</x:v>
      </x:c>
      <x:c r="P11" s="71" t="n">
        <x:v>0.7230769230769231</x:v>
      </x:c>
      <x:c r="Q11" s="72" t="str">
        <x:v>Aumento estimado; evidencia insuficiente</x:v>
      </x:c>
    </x:row>
    <x:row r="12" ht="28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 ht="28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 ht="28" customHeight="1">
      <x:c r="A14" s="73" t="str">
        <x:v>2021–2025 frente a 1950–2020</x:v>
      </x:c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5"/>
    </x:row>
    <x:row r="15" ht="28" customHeight="1">
      <x:c r="A15" s="8" t="str">
        <x:v>Variable</x:v>
      </x:c>
      <x:c r="B15" s="8" t="str">
        <x:v>A histórico</x:v>
      </x:c>
      <x:c r="C15" s="8" t="str">
        <x:v>A reciente</x:v>
      </x:c>
      <x:c r="D15" s="8" t="str">
        <x:v>Cambio A</x:v>
      </x:c>
      <x:c r="E15" s="8" t="str">
        <x:v>B histórico</x:v>
      </x:c>
      <x:c r="F15" s="8" t="str">
        <x:v>B reciente</x:v>
      </x:c>
      <x:c r="G15" s="8" t="str">
        <x:v>Cambio B</x:v>
      </x:c>
      <x:c r="H15" s="8" t="str">
        <x:v>DiD sin ajustar</x:v>
      </x:c>
      <x:c r="I15" s="8" t="str">
        <x:v>DiD ajustada por calendario</x:v>
      </x:c>
      <x:c r="J15" s="8" t="str">
        <x:v>IC 95% bootstrap bajo</x:v>
      </x:c>
      <x:c r="K15" s="8" t="str">
        <x:v>IC 95% bootstrap alto</x:v>
      </x:c>
      <x:c r="L15" s="8" t="str">
        <x:v>p exacta</x:v>
      </x:c>
      <x:c r="M15" s="8" t="str">
        <x:v>p exacta maxT</x:v>
      </x:c>
      <x:c r="N15" s="8" t="str">
        <x:v>p bootstrap</x:v>
      </x:c>
      <x:c r="O15" s="8" t="str">
        <x:v>p bootstrap maxT</x:v>
      </x:c>
      <x:c r="P15" s="8" t="str">
        <x:v>Percentil ventanas</x:v>
      </x:c>
      <x:c r="Q15" s="8" t="str">
        <x:v>Interpretación</x:v>
      </x:c>
    </x:row>
    <x:row r="16" ht="28" customHeight="1">
      <x:c r="A16" s="61" t="str">
        <x:v>Temperatura media</x:v>
      </x:c>
      <x:c r="B16" s="21" t="n">
        <x:v>21.843104460093898</x:v>
      </x:c>
      <x:c r="C16" s="21" t="n">
        <x:v>23.176250000000003</x:v>
      </x:c>
      <x:c r="D16" s="21" t="n">
        <x:f>C16-B16</x:f>
        <x:v>1.3331455399061056</x:v>
      </x:c>
      <x:c r="E16" s="21" t="n">
        <x:v>22.493324530516436</x:v>
      </x:c>
      <x:c r="F16" s="21" t="n">
        <x:v>24.878541666666667</x:v>
      </x:c>
      <x:c r="G16" s="21" t="n">
        <x:f>F16-E16</x:f>
        <x:v>2.3852171361502315</x:v>
      </x:c>
      <x:c r="H16" s="21" t="n">
        <x:f>G16-D16</x:f>
        <x:v>1.0520715962441258</x:v>
      </x:c>
      <x:c r="I16" s="21" t="n">
        <x:v>0.7923425925925907</x:v>
      </x:c>
      <x:c r="J16" s="21" t="n">
        <x:v>-0.7794634648882716</x:v>
      </x:c>
      <x:c r="K16" s="21" t="n">
        <x:v>2.2339637867920175</x:v>
      </x:c>
      <x:c r="L16" s="62" t="n">
        <x:v>0.2130660474011338</x:v>
      </x:c>
      <x:c r="M16" s="62" t="n">
        <x:v>0.3720101085991394</x:v>
      </x:c>
      <x:c r="N16" s="62" t="n">
        <x:v>0.1768411579421029</x:v>
      </x:c>
      <x:c r="O16" s="62" t="n">
        <x:v>0.3381830908454577</x:v>
      </x:c>
      <x:c r="P16" s="63" t="n">
        <x:v>0.8358208955223881</x:v>
      </x:c>
      <x:c r="Q16" s="64" t="str">
        <x:v>Aumento estimado; evidencia insuficiente</x:v>
      </x:c>
    </x:row>
    <x:row r="17" ht="28" customHeight="1">
      <x:c r="A17" s="65" t="str">
        <x:v>Máxima diurna</x:v>
      </x:c>
      <x:c r="B17" s="24" t="n">
        <x:v>29.36197183098591</x:v>
      </x:c>
      <x:c r="C17" s="24" t="n">
        <x:v>30.060000000000002</x:v>
      </x:c>
      <x:c r="D17" s="24" t="n">
        <x:f>C17-B17</x:f>
        <x:v>0.6980281690140906</x:v>
      </x:c>
      <x:c r="E17" s="24" t="n">
        <x:v>30.261971830985914</x:v>
      </x:c>
      <x:c r="F17" s="24" t="n">
        <x:v>33.379999999999995</x:v>
      </x:c>
      <x:c r="G17" s="24" t="n">
        <x:f>F17-E17</x:f>
        <x:v>3.1180281690140816</x:v>
      </x:c>
      <x:c r="H17" s="24" t="n">
        <x:f>G17-D17</x:f>
        <x:v>2.419999999999991</x:v>
      </x:c>
      <x:c r="I17" s="24" t="n">
        <x:v>1.9715555555555546</x:v>
      </x:c>
      <x:c r="J17" s="24" t="n">
        <x:v>-0.16847853203218272</x:v>
      </x:c>
      <x:c r="K17" s="24" t="n">
        <x:v>4.526724050213743</x:v>
      </x:c>
      <x:c r="L17" s="66" t="n">
        <x:v>0.10265009220681648</x:v>
      </x:c>
      <x:c r="M17" s="66" t="n">
        <x:v>0.2063998360767707</x:v>
      </x:c>
      <x:c r="N17" s="66" t="n">
        <x:v>0.07999600019999</x:v>
      </x:c>
      <x:c r="O17" s="66" t="n">
        <x:v>0.15639218039098046</x:v>
      </x:c>
      <x:c r="P17" s="67" t="n">
        <x:v>0.9701492537313433</x:v>
      </x:c>
      <x:c r="Q17" s="68" t="str">
        <x:v>Aumento estimado; evidencia insuficiente</x:v>
      </x:c>
    </x:row>
    <x:row r="18" ht="28" customHeight="1">
      <x:c r="A18" s="65" t="str">
        <x:v>Mínima nocturna</x:v>
      </x:c>
      <x:c r="B18" s="24" t="n">
        <x:v>15.784507042253521</x:v>
      </x:c>
      <x:c r="C18" s="24" t="n">
        <x:v>17.56</x:v>
      </x:c>
      <x:c r="D18" s="24" t="n">
        <x:f>C18-B18</x:f>
        <x:v>1.7754929577464775</x:v>
      </x:c>
      <x:c r="E18" s="24" t="n">
        <x:v>16.37323943661972</x:v>
      </x:c>
      <x:c r="F18" s="24" t="n">
        <x:v>18.46</x:v>
      </x:c>
      <x:c r="G18" s="24" t="n">
        <x:f>F18-E18</x:f>
        <x:v>2.086760563380281</x:v>
      </x:c>
      <x:c r="H18" s="24" t="n">
        <x:f>G18-D18</x:f>
        <x:v>0.3112676056338035</x:v>
      </x:c>
      <x:c r="I18" s="24" t="n">
        <x:v>-0.009111111111110959</x:v>
      </x:c>
      <x:c r="J18" s="24" t="n">
        <x:v>-1.7895609948262343</x:v>
      </x:c>
      <x:c r="K18" s="24" t="n">
        <x:v>1.6647965470018131</x:v>
      </x:c>
      <x:c r="L18" s="66" t="n">
        <x:v>0.4980329212485486</x:v>
      </x:c>
      <x:c r="M18" s="66" t="n">
        <x:v>0.712963595382829</x:v>
      </x:c>
      <x:c r="N18" s="66" t="n">
        <x:v>0.5237738113094346</x:v>
      </x:c>
      <x:c r="O18" s="66" t="n">
        <x:v>0.727963601819909</x:v>
      </x:c>
      <x:c r="P18" s="67" t="n">
        <x:v>0.4328358208955224</x:v>
      </x:c>
      <x:c r="Q18" s="68" t="str">
        <x:v>Sin evidencia de aumento diferencial</x:v>
      </x:c>
    </x:row>
    <x:row r="19" ht="28" customHeight="1">
      <x:c r="A19" s="69" t="str">
        <x:v>Temperatura aparente media</x:v>
      </x:c>
      <x:c r="B19" s="27" t="n">
        <x:v>22.405824530516426</x:v>
      </x:c>
      <x:c r="C19" s="27" t="n">
        <x:v>24.068541666666665</x:v>
      </x:c>
      <x:c r="D19" s="27" t="n">
        <x:f>C19-B19</x:f>
        <x:v>1.6627171361502384</x:v>
      </x:c>
      <x:c r="E19" s="27" t="n">
        <x:v>22.987837441314554</x:v>
      </x:c>
      <x:c r="F19" s="27" t="n">
        <x:v>25.457083333333337</x:v>
      </x:c>
      <x:c r="G19" s="27" t="n">
        <x:f>F19-E19</x:f>
        <x:v>2.469245892018783</x:v>
      </x:c>
      <x:c r="H19" s="27" t="n">
        <x:f>G19-D19</x:f>
        <x:v>0.8065287558685448</x:v>
      </x:c>
      <x:c r="I19" s="27" t="n">
        <x:v>0.4863217592592598</x:v>
      </x:c>
      <x:c r="J19" s="27" t="n">
        <x:v>-1.2001108109159495</x:v>
      </x:c>
      <x:c r="K19" s="27" t="n">
        <x:v>2.0357228288312044</x:v>
      </x:c>
      <x:c r="L19" s="70" t="n">
        <x:v>0.3232087972133051</x:v>
      </x:c>
      <x:c r="M19" s="70" t="n">
        <x:v>0.5175466156683287</x:v>
      </x:c>
      <x:c r="N19" s="70" t="n">
        <x:v>0.30808459577021147</x:v>
      </x:c>
      <x:c r="O19" s="70" t="n">
        <x:v>0.5052247387630618</x:v>
      </x:c>
      <x:c r="P19" s="71" t="n">
        <x:v>0.6268656716417911</x:v>
      </x:c>
      <x:c r="Q19" s="72" t="str">
        <x:v>Aumento estimado; evidencia insuficiente</x:v>
      </x:c>
    </x:row>
    <x:row r="20" ht="28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 ht="28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 ht="28" customHeight="1">
      <x:c r="A22" s="73" t="str">
        <x:v>Comparación descriptiva solicitada: 2020–2025 frente a la serie completa 1950–2025</x:v>
      </x:c>
      <x:c r="B22" s="74"/>
      <x:c r="C22" s="74"/>
      <x:c r="D22" s="74"/>
      <x:c r="E22" s="74"/>
      <x:c r="F22" s="74"/>
      <x:c r="G22" s="74"/>
      <x:c r="H22" s="75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 ht="28" customHeight="1">
      <x:c r="A23" s="8" t="str">
        <x:v>Variable</x:v>
      </x:c>
      <x:c r="B23" s="8" t="str">
        <x:v>Media A completa</x:v>
      </x:c>
      <x:c r="C23" s="8" t="str">
        <x:v>Media A reciente</x:v>
      </x:c>
      <x:c r="D23" s="8" t="str">
        <x:v>Cambio A</x:v>
      </x:c>
      <x:c r="E23" s="8" t="str">
        <x:v>Media B completa</x:v>
      </x:c>
      <x:c r="F23" s="8" t="str">
        <x:v>Media B reciente</x:v>
      </x:c>
      <x:c r="G23" s="8" t="str">
        <x:v>Cambio B</x:v>
      </x:c>
      <x:c r="H23" s="8" t="str">
        <x:v>DiD frente a serie completa</x:v>
      </x:c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 ht="28" customHeight="1">
      <x:c r="A24" s="61" t="str">
        <x:v>Temperatura media</x:v>
      </x:c>
      <x:c r="B24" s="21" t="n">
        <x:v>21.930811403508766</x:v>
      </x:c>
      <x:c r="C24" s="21" t="n">
        <x:v>22.715972222222224</x:v>
      </x:c>
      <x:c r="D24" s="21" t="n">
        <x:f>C24-B24</x:f>
        <x:v>0.7851608187134573</x:v>
      </x:c>
      <x:c r="E24" s="21" t="n">
        <x:v>22.650246710526318</x:v>
      </x:c>
      <x:c r="F24" s="21" t="n">
        <x:v>24.44079861111111</x:v>
      </x:c>
      <x:c r="G24" s="21" t="n">
        <x:f>F24-E24</x:f>
        <x:v>1.7905519005847914</x:v>
      </x:c>
      <x:c r="H24" s="21" t="n">
        <x:f>G24-D24</x:f>
        <x:v>1.005391081871334</x:v>
      </x:c>
      <x:c r="I24" s="13"/>
      <x:c r="J24" s="13"/>
      <x:c r="K24" s="13"/>
      <x:c r="L24" s="13"/>
      <x:c r="M24" s="13"/>
      <x:c r="N24" s="13"/>
      <x:c r="O24" s="13"/>
      <x:c r="P24" s="13"/>
      <x:c r="Q24" s="13"/>
    </x:row>
    <x:row r="25" ht="28" customHeight="1">
      <x:c r="A25" s="65" t="str">
        <x:v>Máxima diurna</x:v>
      </x:c>
      <x:c r="B25" s="24" t="n">
        <x:v>29.4078947368421</x:v>
      </x:c>
      <x:c r="C25" s="24" t="n">
        <x:v>29.5</x:v>
      </x:c>
      <x:c r="D25" s="24" t="n">
        <x:f>C25-B25</x:f>
        <x:v>0.09210526315790091</x:v>
      </x:c>
      <x:c r="E25" s="24" t="n">
        <x:v>30.46710526315789</x:v>
      </x:c>
      <x:c r="F25" s="24" t="n">
        <x:v>33.48333333333333</x:v>
      </x:c>
      <x:c r="G25" s="24" t="n">
        <x:f>F25-E25</x:f>
        <x:v>3.016228070175437</x:v>
      </x:c>
      <x:c r="H25" s="24" t="n">
        <x:f>G25-D25</x:f>
        <x:v>2.924122807017536</x:v>
      </x:c>
      <x:c r="I25" s="13"/>
      <x:c r="J25" s="13"/>
      <x:c r="K25" s="13"/>
      <x:c r="L25" s="13"/>
      <x:c r="M25" s="13"/>
      <x:c r="N25" s="13"/>
      <x:c r="O25" s="13"/>
      <x:c r="P25" s="13"/>
      <x:c r="Q25" s="13"/>
    </x:row>
    <x:row r="26" ht="28" customHeight="1">
      <x:c r="A26" s="65" t="str">
        <x:v>Mínima nocturna</x:v>
      </x:c>
      <x:c r="B26" s="24" t="n">
        <x:v>15.901315789473681</x:v>
      </x:c>
      <x:c r="C26" s="24" t="n">
        <x:v>17.216666666666665</x:v>
      </x:c>
      <x:c r="D26" s="24" t="n">
        <x:f>C26-B26</x:f>
        <x:v>1.3153508771929836</x:v>
      </x:c>
      <x:c r="E26" s="24" t="n">
        <x:v>16.510526315789473</x:v>
      </x:c>
      <x:c r="F26" s="24" t="n">
        <x:v>17.750000000000004</x:v>
      </x:c>
      <x:c r="G26" s="24" t="n">
        <x:f>F26-E26</x:f>
        <x:v>1.2394736842105303</x:v>
      </x:c>
      <x:c r="H26" s="24" t="n">
        <x:f>G26-D26</x:f>
        <x:v>-0.07587719298245332</x:v>
      </x:c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 ht="28" customHeight="1">
      <x:c r="A27" s="69" t="str">
        <x:v>Temperatura aparente media</x:v>
      </x:c>
      <x:c r="B27" s="27" t="n">
        <x:v>22.515213815789473</x:v>
      </x:c>
      <x:c r="C27" s="27" t="n">
        <x:v>23.586979166666666</x:v>
      </x:c>
      <x:c r="D27" s="27" t="n">
        <x:f>C27-B27</x:f>
        <x:v>1.0717653508771932</x:v>
      </x:c>
      <x:c r="E27" s="27" t="n">
        <x:v>23.15028782894737</x:v>
      </x:c>
      <x:c r="F27" s="27" t="n">
        <x:v>24.894965277777782</x:v>
      </x:c>
      <x:c r="G27" s="27" t="n">
        <x:f>F27-E27</x:f>
        <x:v>1.7446774488304122</x:v>
      </x:c>
      <x:c r="H27" s="27" t="n">
        <x:f>G27-D27</x:f>
        <x:v>0.672912097953219</x:v>
      </x:c>
      <x:c r="I27" s="13"/>
      <x:c r="J27" s="13"/>
      <x:c r="K27" s="13"/>
      <x:c r="L27" s="13"/>
      <x:c r="M27" s="13"/>
      <x:c r="N27" s="13"/>
      <x:c r="O27" s="13"/>
      <x:c r="P27" s="13"/>
      <x:c r="Q27" s="13"/>
    </x:row>
    <x:row r="28" ht="28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</x:row>
    <x:row r="29" ht="28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</x:row>
    <x:row r="30" ht="28" customHeight="1">
      <x:c r="A30" s="73" t="str">
        <x:v>Pruebas globales sobre las cuatro variables</x:v>
      </x:c>
      <x:c r="B30" s="74"/>
      <x:c r="C30" s="74"/>
      <x:c r="D30" s="74"/>
      <x:c r="E30" s="75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 ht="28" customHeight="1">
      <x:c r="A31" s="8" t="str">
        <x:v>Periodo reciente</x:v>
      </x:c>
      <x:c r="B31" s="8" t="str">
        <x:v>Asignaciones exactas</x:v>
      </x:c>
      <x:c r="C31" s="8" t="str">
        <x:v>p global exacta maxT</x:v>
      </x:c>
      <x:c r="D31" s="8" t="str">
        <x:v>p global bootstrap maxT</x:v>
      </x:c>
      <x:c r="E31" s="8" t="str">
        <x:v>Lectura</x:v>
      </x:c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 ht="28" customHeight="1">
      <x:c r="A32" s="61" t="str">
        <x:v>2020–2025</x:v>
      </x:c>
      <x:c r="B32" s="61" t="n">
        <x:v>1610510</x:v>
      </x:c>
      <x:c r="C32" s="62" t="n">
        <x:v>0.05588105631135479</x:v>
      </x:c>
      <x:c r="D32" s="62" t="n">
        <x:v>0.020898955052247387</x:v>
      </x:c>
      <x:c r="E32" s="61" t="str">
        <x:v>Los métodos difieren en el umbral de 0,05</x:v>
      </x:c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</x:row>
    <x:row r="33" ht="28" customHeight="1">
      <x:c r="A33" s="69" t="str">
        <x:v>2021–2025</x:v>
      </x:c>
      <x:c r="B33" s="69" t="n">
        <x:v>146410</x:v>
      </x:c>
      <x:c r="C33" s="70" t="n">
        <x:v>0.2063998360767707</x:v>
      </x:c>
      <x:c r="D33" s="70" t="n">
        <x:v>0.15639218039098046</x:v>
      </x:c>
      <x:c r="E33" s="69" t="str">
        <x:v>Sin evidencia global concluyente</x:v>
      </x:c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</x:row>
  </x:sheetData>
  <x:conditionalFormatting sqref="I8:I11">
    <x:cfRule type="cellIs" dxfId="0" priority="1" operator="greaterThan">
      <x:formula>0</x:formula>
    </x:cfRule>
    <x:cfRule type="cellIs" dxfId="1" priority="2" operator="lessThanOrEqual">
      <x:formula>0</x:formula>
    </x:cfRule>
  </x:conditionalFormatting>
  <x:conditionalFormatting sqref="M8:O11">
    <x:cfRule type="cellIs" dxfId="2" priority="3" operator="lessThan">
      <x:formula>0.05</x:formula>
    </x:cfRule>
    <x:cfRule type="cellIs" dxfId="3" priority="4" operator="between">
      <x:formula>0.05</x:formula>
      <x:formula>0.1</x:formula>
    </x:cfRule>
  </x:conditionalFormatting>
  <x:conditionalFormatting sqref="I16:I19">
    <x:cfRule type="cellIs" dxfId="4" priority="5" operator="greaterThan">
      <x:formula>0</x:formula>
    </x:cfRule>
    <x:cfRule type="cellIs" dxfId="5" priority="6" operator="lessThanOrEqual">
      <x:formula>0</x:formula>
    </x:cfRule>
  </x:conditionalFormatting>
  <x:conditionalFormatting sqref="M16:O19">
    <x:cfRule type="cellIs" dxfId="6" priority="7" operator="lessThan">
      <x:formula>0.05</x:formula>
    </x:cfRule>
    <x:cfRule type="cellIs" dxfId="7" priority="8" operator="between">
      <x:formula>0.05</x:formula>
      <x:formula>0.1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8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2">
      <x:c r="A2" s="187" t="str">
        <x:v>Análisis de sensibilidad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</x:row>
    <x:row r="4">
      <x:c r="A4" s="14" t="str">
        <x:v>La robustez exige estabilidad ante exclusión de años, solapamiento de fechas, mediana, longitud de bloque y tendencia temporal.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</x:row>
    <x:row r="6">
      <x:c r="A6" s="8" t="str">
        <x:v>Periodo</x:v>
      </x:c>
      <x:c r="B6" s="8" t="str">
        <x:v>Variable</x:v>
      </x:c>
      <x:c r="C6" s="8" t="str">
        <x:v>LOO mínimo</x:v>
      </x:c>
      <x:c r="D6" s="8" t="str">
        <x:v>LOO máximo</x:v>
      </x:c>
      <x:c r="E6" s="8" t="str">
        <x:v>LOO positivas</x:v>
      </x:c>
      <x:c r="F6" s="8" t="str">
        <x:v>Mediana ajustada</x:v>
      </x:c>
      <x:c r="G6" s="8" t="str">
        <x:v>n sin solapamiento</x:v>
      </x:c>
      <x:c r="H6" s="8" t="str">
        <x:v>Efecto sin solapamiento</x:v>
      </x:c>
      <x:c r="I6" s="8" t="str">
        <x:v>Tendencia/decenio</x:v>
      </x:c>
      <x:c r="J6" s="8" t="str">
        <x:v>IC tendencia bajo</x:v>
      </x:c>
      <x:c r="K6" s="8" t="str">
        <x:v>IC tendencia alto</x:v>
      </x:c>
      <x:c r="L6" s="8" t="str">
        <x:v>p tendencia</x:v>
      </x:c>
      <x:c r="M6" s="8" t="str">
        <x:v>p bloque L3</x:v>
      </x:c>
      <x:c r="N6" s="8" t="str">
        <x:v>p bloque L5</x:v>
      </x:c>
      <x:c r="O6" s="8" t="str">
        <x:v>p bloque L7</x:v>
      </x:c>
      <x:c r="P6" s="8" t="str">
        <x:v>p maxT L3</x:v>
      </x:c>
      <x:c r="Q6" s="8" t="str">
        <x:v>p maxT L5</x:v>
      </x:c>
      <x:c r="R6" s="8" t="str">
        <x:v>p maxT L7</x:v>
      </x:c>
    </x:row>
    <x:row r="7">
      <x:c r="A7" s="157" t="str">
        <x:v>2020–2025</x:v>
      </x:c>
      <x:c r="B7" s="157" t="str">
        <x:v>Temperatura media</x:v>
      </x:c>
      <x:c r="C7" s="28" t="n">
        <x:v>0.6891967592592572</x:v>
      </x:c>
      <x:c r="D7" s="28" t="n">
        <x:v>1.4600300925925913</x:v>
      </x:c>
      <x:c r="E7" s="157" t="str">
        <x:v>6/6</x:v>
      </x:c>
      <x:c r="F7" s="28" t="n">
        <x:v>1.5321874999999991</x:v>
      </x:c>
      <x:c r="G7" s="157" t="n">
        <x:v>4</x:v>
      </x:c>
      <x:c r="H7" s="28" t="n">
        <x:v>1.0050376157407386</x:v>
      </x:c>
      <x:c r="I7" s="28" t="n">
        <x:v>0.023352776809326632</x:v>
      </x:c>
      <x:c r="J7" s="28" t="n">
        <x:v>-0.14389511619143153</x:v>
      </x:c>
      <x:c r="K7" s="28" t="n">
        <x:v>0.19060066981008478</x:v>
      </x:c>
      <x:c r="L7" s="158" t="n">
        <x:v>0.390688413658388</x:v>
      </x:c>
      <x:c r="M7" s="158" t="n">
        <x:v>0.10054497275136243</x:v>
      </x:c>
      <x:c r="N7" s="158" t="n">
        <x:v>0.09184540772961351</x:v>
      </x:c>
      <x:c r="O7" s="158" t="n">
        <x:v>0.0751962401879906</x:v>
      </x:c>
      <x:c r="P7" s="158" t="n">
        <x:v>0.21958902054897256</x:v>
      </x:c>
      <x:c r="Q7" s="158" t="n">
        <x:v>0.22098895055247236</x:v>
      </x:c>
      <x:c r="R7" s="158" t="n">
        <x:v>0.20273986300684965</x:v>
      </x:c>
    </x:row>
    <x:row r="8">
      <x:c r="A8" s="159" t="str">
        <x:v>2020–2025</x:v>
      </x:c>
      <x:c r="B8" s="159" t="str">
        <x:v>Máxima diurna</x:v>
      </x:c>
      <x:c r="C8" s="29" t="n">
        <x:v>1.8035555555555554</x:v>
      </x:c>
      <x:c r="D8" s="29" t="n">
        <x:v>3.871555555555554</x:v>
      </x:c>
      <x:c r="E8" s="159" t="str">
        <x:v>6/6</x:v>
      </x:c>
      <x:c r="F8" s="29" t="n">
        <x:v>2.6488888888888873</x:v>
      </x:c>
      <x:c r="G8" s="159" t="n">
        <x:v>4</x:v>
      </x:c>
      <x:c r="H8" s="29" t="n">
        <x:v>4.524444444444444</x:v>
      </x:c>
      <x:c r="I8" s="29" t="n">
        <x:v>0.18555146098642034</x:v>
      </x:c>
      <x:c r="J8" s="29" t="n">
        <x:v>-0.08923666673488795</x:v>
      </x:c>
      <x:c r="K8" s="29" t="n">
        <x:v>0.4603395887077286</x:v>
      </x:c>
      <x:c r="L8" s="160" t="n">
        <x:v>0.09115464094470978</x:v>
      </x:c>
      <x:c r="M8" s="160" t="n">
        <x:v>0.0111994400279986</x:v>
      </x:c>
      <x:c r="N8" s="160" t="n">
        <x:v>0.016049197540122993</x:v>
      </x:c>
      <x:c r="O8" s="160" t="n">
        <x:v>0.015799210039498024</x:v>
      </x:c>
      <x:c r="P8" s="160" t="n">
        <x:v>0.019949002549872506</x:v>
      </x:c>
      <x:c r="Q8" s="160" t="n">
        <x:v>0.020898955052247387</x:v>
      </x:c>
      <x:c r="R8" s="160" t="n">
        <x:v>0.01894905254737263</x:v>
      </x:c>
    </x:row>
    <x:row r="9">
      <x:c r="A9" s="159" t="str">
        <x:v>2020–2025</x:v>
      </x:c>
      <x:c r="B9" s="159" t="str">
        <x:v>Mínima nocturna</x:v>
      </x:c>
      <x:c r="C9" s="29" t="n">
        <x:v>-0.7971111111111109</x:v>
      </x:c>
      <x:c r="D9" s="29" t="n">
        <x:v>0.44888888888888856</x:v>
      </x:c>
      <x:c r="E9" s="159" t="str">
        <x:v>1/6</x:v>
      </x:c>
      <x:c r="F9" s="29" t="n">
        <x:v>-0.18000000000000027</x:v>
      </x:c>
      <x:c r="G9" s="159" t="n">
        <x:v>4</x:v>
      </x:c>
      <x:c r="H9" s="29" t="n">
        <x:v>-1.0963888888888886</x:v>
      </x:c>
      <x:c r="I9" s="29" t="n">
        <x:v>-0.06833140267942284</x:v>
      </x:c>
      <x:c r="J9" s="29" t="n">
        <x:v>-0.247918895646056</x:v>
      </x:c>
      <x:c r="K9" s="29" t="n">
        <x:v>0.11125609028721031</x:v>
      </x:c>
      <x:c r="L9" s="160" t="n">
        <x:v>0.7748387845019562</x:v>
      </x:c>
      <x:c r="M9" s="160" t="n">
        <x:v>0.6452177391130444</x:v>
      </x:c>
      <x:c r="N9" s="160" t="n">
        <x:v>0.6520173991300435</x:v>
      </x:c>
      <x:c r="O9" s="160" t="n">
        <x:v>0.6568671566421679</x:v>
      </x:c>
      <x:c r="P9" s="160" t="n">
        <x:v>0.84010799460027</x:v>
      </x:c>
      <x:c r="Q9" s="160" t="n">
        <x:v>0.8387580620968952</x:v>
      </x:c>
      <x:c r="R9" s="160" t="n">
        <x:v>0.8349082545872706</x:v>
      </x:c>
    </x:row>
    <x:row r="10">
      <x:c r="A10" s="159" t="str">
        <x:v>2020–2025</x:v>
      </x:c>
      <x:c r="B10" s="159" t="str">
        <x:v>Temperatura aparente media</x:v>
      </x:c>
      <x:c r="C10" s="29" t="n">
        <x:v>0.41638425925926</x:v>
      </x:c>
      <x:c r="D10" s="29" t="n">
        <x:v>0.809530092592593</x:v>
      </x:c>
      <x:c r="E10" s="159" t="str">
        <x:v>6/6</x:v>
      </x:c>
      <x:c r="F10" s="29" t="n">
        <x:v>0.8251793981481486</x:v>
      </x:c>
      <x:c r="G10" s="159" t="n">
        <x:v>4</x:v>
      </x:c>
      <x:c r="H10" s="29" t="n">
        <x:v>0.5351417824074083</x:v>
      </x:c>
      <x:c r="I10" s="29" t="n">
        <x:v>0.006391047597387768</x:v>
      </x:c>
      <x:c r="J10" s="29" t="n">
        <x:v>-0.16183795436616571</x:v>
      </x:c>
      <x:c r="K10" s="29" t="n">
        <x:v>0.17462004956094124</x:v>
      </x:c>
      <x:c r="L10" s="160" t="n">
        <x:v>0.4698971447230448</x:v>
      </x:c>
      <x:c r="M10" s="160" t="n">
        <x:v>0.23458827058647067</x:v>
      </x:c>
      <x:c r="N10" s="160" t="n">
        <x:v>0.2511374431278436</x:v>
      </x:c>
      <x:c r="O10" s="160" t="n">
        <x:v>0.2513874306284686</x:v>
      </x:c>
      <x:c r="P10" s="160" t="n">
        <x:v>0.42307884605769713</x:v>
      </x:c>
      <x:c r="Q10" s="160" t="n">
        <x:v>0.4283285835708215</x:v>
      </x:c>
      <x:c r="R10" s="160" t="n">
        <x:v>0.43027848607569624</x:v>
      </x:c>
    </x:row>
    <x:row r="11">
      <x:c r="A11" s="65" t="str">
        <x:v>2021–2025</x:v>
      </x:c>
      <x:c r="B11" s="65" t="str">
        <x:v>Temperatura media</x:v>
      </x:c>
      <x:c r="C11" s="24" t="n">
        <x:v>0.4375636574074052</x:v>
      </x:c>
      <x:c r="D11" s="24" t="n">
        <x:v>1.4011053240740727</x:v>
      </x:c>
      <x:c r="E11" s="65" t="str">
        <x:v>5/5</x:v>
      </x:c>
      <x:c r="F11" s="24" t="n">
        <x:v>1.3686458333333331</x:v>
      </x:c>
      <x:c r="G11" s="65" t="n">
        <x:v>3</x:v>
      </x:c>
      <x:c r="H11" s="24" t="n">
        <x:v>0.7748070987654296</x:v>
      </x:c>
      <x:c r="I11" s="24" t="n">
        <x:v>0.023352776809326632</x:v>
      </x:c>
      <x:c r="J11" s="24" t="n">
        <x:v>-0.14389511619143153</x:v>
      </x:c>
      <x:c r="K11" s="24" t="n">
        <x:v>0.19060066981008478</x:v>
      </x:c>
      <x:c r="L11" s="66" t="n">
        <x:v>0.390688413658388</x:v>
      </x:c>
      <x:c r="M11" s="66" t="n">
        <x:v>0.17409129543522825</x:v>
      </x:c>
      <x:c r="N11" s="66" t="n">
        <x:v>0.1768411579421029</x:v>
      </x:c>
      <x:c r="O11" s="66" t="n">
        <x:v>0.16439178041097946</x:v>
      </x:c>
      <x:c r="P11" s="66" t="n">
        <x:v>0.3347332633368332</x:v>
      </x:c>
      <x:c r="Q11" s="66" t="n">
        <x:v>0.3381830908454577</x:v>
      </x:c>
      <x:c r="R11" s="66" t="n">
        <x:v>0.32613369331533426</x:v>
      </x:c>
    </x:row>
    <x:row r="12">
      <x:c r="A12" s="65" t="str">
        <x:v>2021–2025</x:v>
      </x:c>
      <x:c r="B12" s="65" t="str">
        <x:v>Máxima diurna</x:v>
      </x:c>
      <x:c r="C12" s="24" t="n">
        <x:v>0.41444444444444406</x:v>
      </x:c>
      <x:c r="D12" s="24" t="n">
        <x:v>2.9994444444444426</x:v>
      </x:c>
      <x:c r="E12" s="65" t="str">
        <x:v>5/5</x:v>
      </x:c>
      <x:c r="F12" s="24" t="n">
        <x:v>0.6199999999999974</x:v>
      </x:c>
      <x:c r="G12" s="65" t="n">
        <x:v>3</x:v>
      </x:c>
      <x:c r="H12" s="24" t="n">
        <x:v>3.5792592592592585</x:v>
      </x:c>
      <x:c r="I12" s="24" t="n">
        <x:v>0.18555146098642034</x:v>
      </x:c>
      <x:c r="J12" s="24" t="n">
        <x:v>-0.08923666673488795</x:v>
      </x:c>
      <x:c r="K12" s="24" t="n">
        <x:v>0.4603395887077286</x:v>
      </x:c>
      <x:c r="L12" s="66" t="n">
        <x:v>0.09115464094470978</x:v>
      </x:c>
      <x:c r="M12" s="66" t="n">
        <x:v>0.0711964401779911</x:v>
      </x:c>
      <x:c r="N12" s="66" t="n">
        <x:v>0.07999600019999</x:v>
      </x:c>
      <x:c r="O12" s="66" t="n">
        <x:v>0.06924653767311634</x:v>
      </x:c>
      <x:c r="P12" s="66" t="n">
        <x:v>0.14129293535323234</x:v>
      </x:c>
      <x:c r="Q12" s="66" t="n">
        <x:v>0.15639218039098046</x:v>
      </x:c>
      <x:c r="R12" s="66" t="n">
        <x:v>0.1327933603319834</x:v>
      </x:c>
    </x:row>
    <x:row r="13">
      <x:c r="A13" s="65" t="str">
        <x:v>2021–2025</x:v>
      </x:c>
      <x:c r="B13" s="65" t="str">
        <x:v>Mínima nocturna</x:v>
      </x:c>
      <x:c r="C13" s="24" t="n">
        <x:v>-0.6238888888888885</x:v>
      </x:c>
      <x:c r="D13" s="24" t="n">
        <x:v>0.933611111111111</x:v>
      </x:c>
      <x:c r="E13" s="65" t="str">
        <x:v>2/5</x:v>
      </x:c>
      <x:c r="F13" s="24" t="n">
        <x:v>0.3999999999999998</x:v>
      </x:c>
      <x:c r="G13" s="65" t="n">
        <x:v>3</x:v>
      </x:c>
      <x:c r="H13" s="24" t="n">
        <x:v>-0.9651851851851846</x:v>
      </x:c>
      <x:c r="I13" s="24" t="n">
        <x:v>-0.06833140267942284</x:v>
      </x:c>
      <x:c r="J13" s="24" t="n">
        <x:v>-0.247918895646056</x:v>
      </x:c>
      <x:c r="K13" s="24" t="n">
        <x:v>0.11125609028721031</x:v>
      </x:c>
      <x:c r="L13" s="66" t="n">
        <x:v>0.7748387845019562</x:v>
      </x:c>
      <x:c r="M13" s="66" t="n">
        <x:v>0.5144742762861857</x:v>
      </x:c>
      <x:c r="N13" s="66" t="n">
        <x:v>0.5237738113094346</x:v>
      </x:c>
      <x:c r="O13" s="66" t="n">
        <x:v>0.5297735113244337</x:v>
      </x:c>
      <x:c r="P13" s="66" t="n">
        <x:v>0.7353632318384081</x:v>
      </x:c>
      <x:c r="Q13" s="66" t="n">
        <x:v>0.727963601819909</x:v>
      </x:c>
      <x:c r="R13" s="66" t="n">
        <x:v>0.7269636518174092</x:v>
      </x:c>
    </x:row>
    <x:row r="14">
      <x:c r="A14" s="69" t="str">
        <x:v>2021–2025</x:v>
      </x:c>
      <x:c r="B14" s="69" t="str">
        <x:v>Temperatura aparente media</x:v>
      </x:c>
      <x:c r="C14" s="27" t="n">
        <x:v>0.2571990740740747</x:v>
      </x:c>
      <x:c r="D14" s="27" t="n">
        <x:v>0.7486313657407411</x:v>
      </x:c>
      <x:c r="E14" s="69" t="str">
        <x:v>5/5</x:v>
      </x:c>
      <x:c r="F14" s="27" t="n">
        <x:v>0.6019791666666685</x:v>
      </x:c>
      <x:c r="G14" s="69" t="n">
        <x:v>3</x:v>
      </x:c>
      <x:c r="H14" s="27" t="n">
        <x:v>0.36248070987654407</x:v>
      </x:c>
      <x:c r="I14" s="27" t="n">
        <x:v>0.006391047597387768</x:v>
      </x:c>
      <x:c r="J14" s="27" t="n">
        <x:v>-0.16183795436616571</x:v>
      </x:c>
      <x:c r="K14" s="27" t="n">
        <x:v>0.17462004956094124</x:v>
      </x:c>
      <x:c r="L14" s="70" t="n">
        <x:v>0.4698971447230448</x:v>
      </x:c>
      <x:c r="M14" s="70" t="n">
        <x:v>0.2992350382480876</x:v>
      </x:c>
      <x:c r="N14" s="70" t="n">
        <x:v>0.30808459577021147</x:v>
      </x:c>
      <x:c r="O14" s="70" t="n">
        <x:v>0.336283185840708</x:v>
      </x:c>
      <x:c r="P14" s="70" t="n">
        <x:v>0.5071246437678116</x:v>
      </x:c>
      <x:c r="Q14" s="70" t="n">
        <x:v>0.5052247387630618</x:v>
      </x:c>
      <x:c r="R14" s="70" t="n">
        <x:v>0.5086745662716864</x:v>
      </x:c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</x:row>
    <x:row r="17">
      <x:c r="A17" s="73" t="str">
        <x:v>Lectura de robustez</x:v>
      </x:c>
      <x:c r="B17" s="74"/>
      <x:c r="C17" s="74"/>
      <x:c r="D17" s="74"/>
      <x:c r="E17" s="74"/>
      <x:c r="F17" s="75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</x:row>
    <x:row r="18" ht="42" customHeight="1">
      <x:c r="A18" s="164" t="str">
        <x:v>Temperatura media</x:v>
      </x:c>
      <x:c r="B18" s="165" t="str">
        <x:v>El efecto ajustado es positivo en todas las exclusiones de un año, pero los intervalos incluyen cero y los p ajustados son &gt;0,05.</x:v>
      </x:c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</x:row>
    <x:row r="19" ht="42" customHeight="1">
      <x:c r="A19" s="166" t="str">
        <x:v>Máxima diurna</x:v>
      </x:c>
      <x:c r="B19" s="167" t="str">
        <x:v>Es la señal más intensa. En 2020–2025 sobrevive al bootstrap maxT, queda en p=0,0559 en la permutación exacta maxT y pierde significación en 2021–2025.</x:v>
      </x:c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</x:row>
    <x:row r="20" ht="42" customHeight="1">
      <x:c r="A20" s="166" t="str">
        <x:v>Mínima nocturna</x:v>
      </x:c>
      <x:c r="B20" s="167" t="str">
        <x:v>No muestra aumento diferencial estable. El efecto ajustado es negativo o prácticamente nulo.</x:v>
      </x:c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</x:row>
    <x:row r="21" ht="42" customHeight="1">
      <x:c r="A21" s="166" t="str">
        <x:v>Temperatura aparente</x:v>
      </x:c>
      <x:c r="B21" s="167" t="str">
        <x:v>El efecto estimado es positivo, pero no alcanza evidencia inferencial robusta.</x:v>
      </x:c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</x:row>
    <x:row r="22" ht="42" customHeight="1">
      <x:c r="A22" s="168" t="str">
        <x:v>Tendencia 1950–2025</x:v>
      </x:c>
      <x:c r="B22" s="169" t="str">
        <x:v>Ninguna pendiente B−A por decenio es significativa al 5%; la señal reciente no equivale a una tendencia diferencial sostenida.</x:v>
      </x:c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F8FA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2">
      <x:c r="A2" s="187" t="str">
        <x:v>Ventanas históricas ajustadas por calendario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>
      <x:c r="A3" s="14" t="str">
        <x:v>Cada ventana se compara con los demás años históricos, emparejando la separación entre B y A. Los valores son diferencias de diferencias en °C.</x:v>
      </x:c>
      <x:c r="B3" s="14"/>
      <x:c r="C3" s="14"/>
      <x:c r="D3" s="14"/>
      <x:c r="E3" s="14"/>
      <x:c r="F3" s="14"/>
      <x:c r="G3" s="14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</x:row>
    <x:row r="4">
      <x:c r="A4" s="73" t="str">
        <x:v>Ventanas de seis años: referencia del análisis 2020–2025</x:v>
      </x:c>
      <x:c r="B4" s="74"/>
      <x:c r="C4" s="74"/>
      <x:c r="D4" s="74"/>
      <x:c r="E4" s="74"/>
      <x:c r="F4" s="74"/>
      <x:c r="G4" s="75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</x:row>
    <x:row r="5">
      <x:c r="A5" s="8" t="str">
        <x:v>Ventana</x:v>
      </x:c>
      <x:c r="B5" s="8" t="str">
        <x:v>Inicio</x:v>
      </x:c>
      <x:c r="C5" s="8" t="str">
        <x:v>Fin</x:v>
      </x:c>
      <x:c r="D5" s="8" t="str">
        <x:v>Temperatura media</x:v>
      </x:c>
      <x:c r="E5" s="8" t="str">
        <x:v>Máxima diurna</x:v>
      </x:c>
      <x:c r="F5" s="8" t="str">
        <x:v>Mínima nocturna</x:v>
      </x:c>
      <x:c r="G5" s="8" t="str">
        <x:v>Temperatura aparente media</x:v>
      </x:c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</x:row>
    <x:row r="6">
      <x:c r="A6" s="61" t="str">
        <x:v>1950–1955</x:v>
      </x:c>
      <x:c r="B6" s="61" t="n">
        <x:v>1950</x:v>
      </x:c>
      <x:c r="C6" s="61" t="n">
        <x:v>1955</x:v>
      </x:c>
      <x:c r="D6" s="21" t="n">
        <x:v>0.23959490740740833</x:v>
      </x:c>
      <x:c r="E6" s="21" t="n">
        <x:v>-0.34773148148148175</x:v>
      </x:c>
      <x:c r="F6" s="21" t="n">
        <x:v>0.1282870370370372</x:v>
      </x:c>
      <x:c r="G6" s="21" t="n">
        <x:v>0.06127363040123516</x:v>
      </x:c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</x:row>
    <x:row r="7">
      <x:c r="A7" s="65" t="str">
        <x:v>1951–1956</x:v>
      </x:c>
      <x:c r="B7" s="65" t="n">
        <x:v>1951</x:v>
      </x:c>
      <x:c r="C7" s="65" t="n">
        <x:v>1956</x:v>
      </x:c>
      <x:c r="D7" s="24" t="n">
        <x:v>0.031288580246914756</x:v>
      </x:c>
      <x:c r="E7" s="24" t="n">
        <x:v>-0.10254629629629698</x:v>
      </x:c>
      <x:c r="F7" s="24" t="n">
        <x:v>0.07476851851851861</x:v>
      </x:c>
      <x:c r="G7" s="24" t="n">
        <x:v>0.025204957561729507</x:v>
      </x:c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</x:row>
    <x:row r="8">
      <x:c r="A8" s="65" t="str">
        <x:v>1952–1957</x:v>
      </x:c>
      <x:c r="B8" s="65" t="n">
        <x:v>1952</x:v>
      </x:c>
      <x:c r="C8" s="65" t="n">
        <x:v>1957</x:v>
      </x:c>
      <x:c r="D8" s="24" t="n">
        <x:v>-0.11711419753086359</x:v>
      </x:c>
      <x:c r="E8" s="24" t="n">
        <x:v>-0.3255092592592594</x:v>
      </x:c>
      <x:c r="F8" s="24" t="n">
        <x:v>0.04125000000000017</x:v>
      </x:c>
      <x:c r="G8" s="24" t="n">
        <x:v>0.04815827546296345</x:v>
      </x:c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</x:row>
    <x:row r="9">
      <x:c r="A9" s="65" t="str">
        <x:v>1953–1958</x:v>
      </x:c>
      <x:c r="B9" s="65" t="n">
        <x:v>1953</x:v>
      </x:c>
      <x:c r="C9" s="65" t="n">
        <x:v>1958</x:v>
      </x:c>
      <x:c r="D9" s="24" t="n">
        <x:v>-0.37907407407407273</x:v>
      </x:c>
      <x:c r="E9" s="24" t="n">
        <x:v>-0.9366203703703707</x:v>
      </x:c>
      <x:c r="F9" s="24" t="n">
        <x:v>0.09680555555555619</x:v>
      </x:c>
      <x:c r="G9" s="24" t="n">
        <x:v>0.039670621141975594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</x:row>
    <x:row r="10">
      <x:c r="A10" s="65" t="str">
        <x:v>1954–1959</x:v>
      </x:c>
      <x:c r="B10" s="65" t="n">
        <x:v>1954</x:v>
      </x:c>
      <x:c r="C10" s="65" t="n">
        <x:v>1959</x:v>
      </x:c>
      <x:c r="D10" s="24" t="n">
        <x:v>0.004413580246914961</x:v>
      </x:c>
      <x:c r="E10" s="24" t="n">
        <x:v>-0.4366203703703701</x:v>
      </x:c>
      <x:c r="F10" s="24" t="n">
        <x:v>0.48569444444444504</x:v>
      </x:c>
      <x:c r="G10" s="24" t="n">
        <x:v>0.3236212384259272</x:v>
      </x:c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</x:row>
    <x:row r="11">
      <x:c r="A11" s="65" t="str">
        <x:v>1955–1960</x:v>
      </x:c>
      <x:c r="B11" s="65" t="n">
        <x:v>1955</x:v>
      </x:c>
      <x:c r="C11" s="65" t="n">
        <x:v>1960</x:v>
      </x:c>
      <x:c r="D11" s="24" t="n">
        <x:v>0.8212442129629635</x:v>
      </x:c>
      <x:c r="E11" s="24" t="n">
        <x:v>0.617314814814815</x:v>
      </x:c>
      <x:c r="F11" s="24" t="n">
        <x:v>1.1345370370370373</x:v>
      </x:c>
      <x:c r="G11" s="24" t="n">
        <x:v>0.9879610339506183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</x:row>
    <x:row r="12">
      <x:c r="A12" s="65" t="str">
        <x:v>1956–1961</x:v>
      </x:c>
      <x:c r="B12" s="65" t="n">
        <x:v>1956</x:v>
      </x:c>
      <x:c r="C12" s="65" t="n">
        <x:v>1961</x:v>
      </x:c>
      <x:c r="D12" s="24" t="n">
        <x:v>0.8227391975308649</x:v>
      </x:c>
      <x:c r="E12" s="24" t="n">
        <x:v>0.5362962962962964</x:v>
      </x:c>
      <x:c r="F12" s="24" t="n">
        <x:v>0.6868518518518526</x:v>
      </x:c>
      <x:c r="G12" s="24" t="n">
        <x:v>0.9468537808641981</x:v>
      </x:c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</x:row>
    <x:row r="13">
      <x:c r="A13" s="65" t="str">
        <x:v>1957–1962</x:v>
      </x:c>
      <x:c r="B13" s="65" t="n">
        <x:v>1957</x:v>
      </x:c>
      <x:c r="C13" s="65" t="n">
        <x:v>1962</x:v>
      </x:c>
      <x:c r="D13" s="24" t="n">
        <x:v>0.7511246141975317</x:v>
      </x:c>
      <x:c r="E13" s="24" t="n">
        <x:v>0.3346296296296307</x:v>
      </x:c>
      <x:c r="F13" s="24" t="n">
        <x:v>0.6868518518518525</x:v>
      </x:c>
      <x:c r="G13" s="24" t="n">
        <x:v>0.7973225308641979</x:v>
      </x:c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</x:row>
    <x:row r="14">
      <x:c r="A14" s="65" t="str">
        <x:v>1958–1963</x:v>
      </x:c>
      <x:c r="B14" s="65" t="n">
        <x:v>1958</x:v>
      </x:c>
      <x:c r="C14" s="65" t="n">
        <x:v>1963</x:v>
      </x:c>
      <x:c r="D14" s="24" t="n">
        <x:v>1.1957619598765434</x:v>
      </x:c>
      <x:c r="E14" s="24" t="n">
        <x:v>0.5383333333333341</x:v>
      </x:c>
      <x:c r="F14" s="24" t="n">
        <x:v>1.3720370370370378</x:v>
      </x:c>
      <x:c r="G14" s="24" t="n">
        <x:v>1.1742515432098777</x:v>
      </x:c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</x:row>
    <x:row r="15">
      <x:c r="A15" s="65" t="str">
        <x:v>1959–1964</x:v>
      </x:c>
      <x:c r="B15" s="65" t="n">
        <x:v>1959</x:v>
      </x:c>
      <x:c r="C15" s="65" t="n">
        <x:v>1964</x:v>
      </x:c>
      <x:c r="D15" s="24" t="n">
        <x:v>0.9464564043209881</x:v>
      </x:c>
      <x:c r="E15" s="24" t="n">
        <x:v>0.14250000000000126</x:v>
      </x:c>
      <x:c r="F15" s="24" t="n">
        <x:v>1.5734259259259258</x:v>
      </x:c>
      <x:c r="G15" s="24" t="n">
        <x:v>0.9080333719135801</x:v>
      </x:c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</x:row>
    <x:row r="16">
      <x:c r="A16" s="65" t="str">
        <x:v>1960–1965</x:v>
      </x:c>
      <x:c r="B16" s="65" t="n">
        <x:v>1960</x:v>
      </x:c>
      <x:c r="C16" s="65" t="n">
        <x:v>1965</x:v>
      </x:c>
      <x:c r="D16" s="24" t="n">
        <x:v>1.197686149691359</x:v>
      </x:c>
      <x:c r="E16" s="24" t="n">
        <x:v>0.19087962962963076</x:v>
      </x:c>
      <x:c r="F16" s="24" t="n">
        <x:v>2.1525925925925926</x:v>
      </x:c>
      <x:c r="G16" s="24" t="n">
        <x:v>1.4530589313271591</x:v>
      </x:c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</x:row>
    <x:row r="17">
      <x:c r="A17" s="65" t="str">
        <x:v>1961–1966</x:v>
      </x:c>
      <x:c r="B17" s="65" t="n">
        <x:v>1961</x:v>
      </x:c>
      <x:c r="C17" s="65" t="n">
        <x:v>1966</x:v>
      </x:c>
      <x:c r="D17" s="24" t="n">
        <x:v>0.9010040509259262</x:v>
      </x:c>
      <x:c r="E17" s="24" t="n">
        <x:v>-0.5683796296296282</x:v>
      </x:c>
      <x:c r="F17" s="24" t="n">
        <x:v>1.5599999999999998</x:v>
      </x:c>
      <x:c r="G17" s="24" t="n">
        <x:v>1.082688560956789</x:v>
      </x:c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</x:row>
    <x:row r="18">
      <x:c r="A18" s="65" t="str">
        <x:v>1962–1967</x:v>
      </x:c>
      <x:c r="B18" s="65" t="n">
        <x:v>1962</x:v>
      </x:c>
      <x:c r="C18" s="65" t="n">
        <x:v>1967</x:v>
      </x:c>
      <x:c r="D18" s="24" t="n">
        <x:v>0.2669376929012344</x:v>
      </x:c>
      <x:c r="E18" s="24" t="n">
        <x:v>-1.1609722222222205</x:v>
      </x:c>
      <x:c r="F18" s="24" t="n">
        <x:v>1.3377777777777773</x:v>
      </x:c>
      <x:c r="G18" s="24" t="n">
        <x:v>0.7198413387345665</x:v>
      </x:c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</x:row>
    <x:row r="19">
      <x:c r="A19" s="65" t="str">
        <x:v>1963–1968</x:v>
      </x:c>
      <x:c r="B19" s="65" t="n">
        <x:v>1963</x:v>
      </x:c>
      <x:c r="C19" s="65" t="n">
        <x:v>1968</x:v>
      </x:c>
      <x:c r="D19" s="24" t="n">
        <x:v>0.2830439814814812</x:v>
      </x:c>
      <x:c r="E19" s="24" t="n">
        <x:v>-1.0761574074074067</x:v>
      </x:c>
      <x:c r="F19" s="24" t="n">
        <x:v>1.3999999999999997</x:v>
      </x:c>
      <x:c r="G19" s="24" t="n">
        <x:v>0.7964385609567888</x:v>
      </x:c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</x:row>
    <x:row r="20">
      <x:c r="A20" s="65" t="str">
        <x:v>1964–1969</x:v>
      </x:c>
      <x:c r="B20" s="65" t="n">
        <x:v>1964</x:v>
      </x:c>
      <x:c r="C20" s="65" t="n">
        <x:v>1969</x:v>
      </x:c>
      <x:c r="D20" s="24" t="n">
        <x:v>-0.2986930941358025</x:v>
      </x:c>
      <x:c r="E20" s="24" t="n">
        <x:v>-0.9511574074074073</x:v>
      </x:c>
      <x:c r="F20" s="24" t="n">
        <x:v>0.784259259259259</x:v>
      </x:c>
      <x:c r="G20" s="24" t="n">
        <x:v>0.27371479552468947</x:v>
      </x:c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</x:row>
    <x:row r="21">
      <x:c r="A21" s="65" t="str">
        <x:v>1965–1970</x:v>
      </x:c>
      <x:c r="B21" s="65" t="n">
        <x:v>1965</x:v>
      </x:c>
      <x:c r="C21" s="65" t="n">
        <x:v>1970</x:v>
      </x:c>
      <x:c r="D21" s="24" t="n">
        <x:v>-0.020336612654321462</x:v>
      </x:c>
      <x:c r="E21" s="24" t="n">
        <x:v>-0.4696759259259264</x:v>
      </x:c>
      <x:c r="F21" s="24" t="n">
        <x:v>0.7472222222222221</x:v>
      </x:c>
      <x:c r="G21" s="24" t="n">
        <x:v>0.44713300540123346</x:v>
      </x:c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</x:row>
    <x:row r="22">
      <x:c r="A22" s="65" t="str">
        <x:v>1966–1971</x:v>
      </x:c>
      <x:c r="B22" s="65" t="n">
        <x:v>1966</x:v>
      </x:c>
      <x:c r="C22" s="65" t="n">
        <x:v>1971</x:v>
      </x:c>
      <x:c r="D22" s="24" t="n">
        <x:v>-0.7041256751543225</x:v>
      </x:c>
      <x:c r="E22" s="24" t="n">
        <x:v>-0.9759259259259262</x:v>
      </x:c>
      <x:c r="F22" s="24" t="n">
        <x:v>-0.17152777777777758</x:v>
      </x:c>
      <x:c r="G22" s="24" t="n">
        <x:v>-0.8655623070987671</x:v>
      </x:c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</x:row>
    <x:row r="23">
      <x:c r="A23" s="65" t="str">
        <x:v>1967–1972</x:v>
      </x:c>
      <x:c r="B23" s="65" t="n">
        <x:v>1967</x:v>
      </x:c>
      <x:c r="C23" s="65" t="n">
        <x:v>1972</x:v>
      </x:c>
      <x:c r="D23" s="24" t="n">
        <x:v>-0.35234616126543333</x:v>
      </x:c>
      <x:c r="E23" s="24" t="n">
        <x:v>0.015277777777777501</x:v>
      </x:c>
      <x:c r="F23" s="24" t="n">
        <x:v>0.29097222222222235</x:v>
      </x:c>
      <x:c r="G23" s="24" t="n">
        <x:v>-0.31788676697530965</x:v>
      </x:c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</x:row>
    <x:row r="24">
      <x:c r="A24" s="65" t="str">
        <x:v>1968–1973</x:v>
      </x:c>
      <x:c r="B24" s="65" t="n">
        <x:v>1968</x:v>
      </x:c>
      <x:c r="C24" s="65" t="n">
        <x:v>1973</x:v>
      </x:c>
      <x:c r="D24" s="24" t="n">
        <x:v>0.36118682484567793</x:v>
      </x:c>
      <x:c r="E24" s="24" t="n">
        <x:v>0.9140740740740735</x:v>
      </x:c>
      <x:c r="F24" s="24" t="n">
        <x:v>0.7084722222222225</x:v>
      </x:c>
      <x:c r="G24" s="24" t="n">
        <x:v>0.05510127314814681</x:v>
      </x:c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</x:row>
    <x:row r="25">
      <x:c r="A25" s="65" t="str">
        <x:v>1969–1974</x:v>
      </x:c>
      <x:c r="B25" s="65" t="n">
        <x:v>1969</x:v>
      </x:c>
      <x:c r="C25" s="65" t="n">
        <x:v>1974</x:v>
      </x:c>
      <x:c r="D25" s="24" t="n">
        <x:v>0.2846050347222217</x:v>
      </x:c>
      <x:c r="E25" s="24" t="n">
        <x:v>0.9140740740740735</x:v>
      </x:c>
      <x:c r="F25" s="24" t="n">
        <x:v>0.7084722222222225</x:v>
      </x:c>
      <x:c r="G25" s="24" t="n">
        <x:v>-0.1134944058641995</x:v>
      </x:c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</x:row>
    <x:row r="26">
      <x:c r="A26" s="65" t="str">
        <x:v>1970–1975</x:v>
      </x:c>
      <x:c r="B26" s="65" t="n">
        <x:v>1970</x:v>
      </x:c>
      <x:c r="C26" s="65" t="n">
        <x:v>1975</x:v>
      </x:c>
      <x:c r="D26" s="24" t="n">
        <x:v>0.4638102816358021</x:v>
      </x:c>
      <x:c r="E26" s="24" t="n">
        <x:v>0.7288888888888884</x:v>
      </x:c>
      <x:c r="F26" s="24" t="n">
        <x:v>0.3566203703703708</x:v>
      </x:c>
      <x:c r="G26" s="24" t="n">
        <x:v>0.05297935956789984</x:v>
      </x:c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</x:row>
    <x:row r="27">
      <x:c r="A27" s="65" t="str">
        <x:v>1971–1976</x:v>
      </x:c>
      <x:c r="B27" s="65" t="n">
        <x:v>1971</x:v>
      </x:c>
      <x:c r="C27" s="65" t="n">
        <x:v>1976</x:v>
      </x:c>
      <x:c r="D27" s="24" t="n">
        <x:v>0.12230379188712415</x:v>
      </x:c>
      <x:c r="E27" s="24" t="n">
        <x:v>0.6439682539682536</x:v>
      </x:c>
      <x:c r="F27" s="24" t="n">
        <x:v>-0.305449735449735</x:v>
      </x:c>
      <x:c r="G27" s="24" t="n">
        <x:v>-0.3137003968253986</x:v>
      </x:c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</x:row>
    <x:row r="28">
      <x:c r="A28" s="65" t="str">
        <x:v>1972–1977</x:v>
      </x:c>
      <x:c r="B28" s="65" t="n">
        <x:v>1972</x:v>
      </x:c>
      <x:c r="C28" s="65" t="n">
        <x:v>1977</x:v>
      </x:c>
      <x:c r="D28" s="24" t="n">
        <x:v>-0.48132137345679044</x:v>
      </x:c>
      <x:c r="E28" s="24" t="n">
        <x:v>0.6663888888888884</x:v>
      </x:c>
      <x:c r="F28" s="24" t="n">
        <x:v>-1.3864351851851853</x:v>
      </x:c>
      <x:c r="G28" s="24" t="n">
        <x:v>-0.8326663773148159</x:v>
      </x:c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</x:row>
    <x:row r="29">
      <x:c r="A29" s="65" t="str">
        <x:v>1973–1978</x:v>
      </x:c>
      <x:c r="B29" s="65" t="n">
        <x:v>1973</x:v>
      </x:c>
      <x:c r="C29" s="65" t="n">
        <x:v>1978</x:v>
      </x:c>
      <x:c r="D29" s="24" t="n">
        <x:v>-1.2191685956790126</x:v>
      </x:c>
      <x:c r="E29" s="24" t="n">
        <x:v>-0.7410185185185197</x:v>
      </x:c>
      <x:c r="F29" s="24" t="n">
        <x:v>-1.7753240740740737</x:v>
      </x:c>
      <x:c r="G29" s="24" t="n">
        <x:v>-1.187604648919755</x:v>
      </x:c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</x:row>
    <x:row r="30">
      <x:c r="A30" s="65" t="str">
        <x:v>1974–1979</x:v>
      </x:c>
      <x:c r="B30" s="65" t="n">
        <x:v>1974</x:v>
      </x:c>
      <x:c r="C30" s="65" t="n">
        <x:v>1979</x:v>
      </x:c>
      <x:c r="D30" s="24" t="n">
        <x:v>-1.2271894290123464</x:v>
      </x:c>
      <x:c r="E30" s="24" t="n">
        <x:v>-0.5943518518518531</x:v>
      </x:c>
      <x:c r="F30" s="24" t="n">
        <x:v>-1.7203240740740737</x:v>
      </x:c>
      <x:c r="G30" s="24" t="n">
        <x:v>-1.1822574266975332</x:v>
      </x:c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</x:row>
    <x:row r="31">
      <x:c r="A31" s="65" t="str">
        <x:v>1975–1980</x:v>
      </x:c>
      <x:c r="B31" s="65" t="n">
        <x:v>1975</x:v>
      </x:c>
      <x:c r="C31" s="65" t="n">
        <x:v>1980</x:v>
      </x:c>
      <x:c r="D31" s="24" t="n">
        <x:v>-0.6946903935185192</x:v>
      </x:c>
      <x:c r="E31" s="24" t="n">
        <x:v>0.4366666666666659</x:v>
      </x:c>
      <x:c r="F31" s="24" t="n">
        <x:v>-1.5860648148148149</x:v>
      </x:c>
      <x:c r="G31" s="24" t="n">
        <x:v>-0.5547641782407423</x:v>
      </x:c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</x:row>
    <x:row r="32">
      <x:c r="A32" s="65" t="str">
        <x:v>1976–1981</x:v>
      </x:c>
      <x:c r="B32" s="65" t="n">
        <x:v>1976</x:v>
      </x:c>
      <x:c r="C32" s="65" t="n">
        <x:v>1981</x:v>
      </x:c>
      <x:c r="D32" s="24" t="n">
        <x:v>-0.8475597993827176</x:v>
      </x:c>
      <x:c r="E32" s="24" t="n">
        <x:v>0.22787037037037042</x:v>
      </x:c>
      <x:c r="F32" s="24" t="n">
        <x:v>-1.9129166666666662</x:v>
      </x:c>
      <x:c r="G32" s="24" t="n">
        <x:v>-0.8818523341049401</x:v>
      </x:c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</x:row>
    <x:row r="33">
      <x:c r="A33" s="65" t="str">
        <x:v>1977–1982</x:v>
      </x:c>
      <x:c r="B33" s="65" t="n">
        <x:v>1977</x:v>
      </x:c>
      <x:c r="C33" s="65" t="n">
        <x:v>1982</x:v>
      </x:c>
      <x:c r="D33" s="24" t="n">
        <x:v>-0.02119261188271652</x:v>
      </x:c>
      <x:c r="E33" s="24" t="n">
        <x:v>0.8653703703703708</x:v>
      </x:c>
      <x:c r="F33" s="24" t="n">
        <x:v>-0.9566666666666669</x:v>
      </x:c>
      <x:c r="G33" s="24" t="n">
        <x:v>0.10154610339506014</x:v>
      </x:c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</x:row>
    <x:row r="34">
      <x:c r="A34" s="65" t="str">
        <x:v>1978–1983</x:v>
      </x:c>
      <x:c r="B34" s="65" t="n">
        <x:v>1978</x:v>
      </x:c>
      <x:c r="C34" s="65" t="n">
        <x:v>1983</x:v>
      </x:c>
      <x:c r="D34" s="24" t="n">
        <x:v>-0.014633969907407915</x:v>
      </x:c>
      <x:c r="E34" s="24" t="n">
        <x:v>-0.11611111111111076</x:v>
      </x:c>
      <x:c r="F34" s="24" t="n">
        <x:v>-0.3270370370370366</x:v>
      </x:c>
      <x:c r="G34" s="24" t="n">
        <x:v>0.5498485725308634</x:v>
      </x:c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</x:row>
    <x:row r="35">
      <x:c r="A35" s="65" t="str">
        <x:v>1979–1984</x:v>
      </x:c>
      <x:c r="B35" s="65" t="n">
        <x:v>1979</x:v>
      </x:c>
      <x:c r="C35" s="65" t="n">
        <x:v>1984</x:v>
      </x:c>
      <x:c r="D35" s="24" t="n">
        <x:v>0.11526572145061681</x:v>
      </x:c>
      <x:c r="E35" s="24" t="n">
        <x:v>0.662037037037038</x:v>
      </x:c>
      <x:c r="F35" s="24" t="n">
        <x:v>-0.5620370370370371</x:v>
      </x:c>
      <x:c r="G35" s="24" t="n">
        <x:v>0.4147714120370365</x:v>
      </x:c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</x:row>
    <x:row r="36">
      <x:c r="A36" s="65" t="str">
        <x:v>1980–1985</x:v>
      </x:c>
      <x:c r="B36" s="65" t="n">
        <x:v>1980</x:v>
      </x:c>
      <x:c r="C36" s="65" t="n">
        <x:v>1985</x:v>
      </x:c>
      <x:c r="D36" s="24" t="n">
        <x:v>-0.025193383487654746</x:v>
      </x:c>
      <x:c r="E36" s="24" t="n">
        <x:v>0.05388888888888954</x:v>
      </x:c>
      <x:c r="F36" s="24" t="n">
        <x:v>-0.6700000000000003</x:v>
      </x:c>
      <x:c r="G36" s="24" t="n">
        <x:v>0.2608342978395072</x:v>
      </x:c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</x:row>
    <x:row r="37">
      <x:c r="A37" s="65" t="str">
        <x:v>1981–1986</x:v>
      </x:c>
      <x:c r="B37" s="65" t="n">
        <x:v>1981</x:v>
      </x:c>
      <x:c r="C37" s="65" t="n">
        <x:v>1986</x:v>
      </x:c>
      <x:c r="D37" s="24" t="n">
        <x:v>-0.9063662229938275</x:v>
      </x:c>
      <x:c r="E37" s="24" t="n">
        <x:v>-1.6498148148148142</x:v>
      </x:c>
      <x:c r="F37" s="24" t="n">
        <x:v>-0.9477777777777777</x:v>
      </x:c>
      <x:c r="G37" s="24" t="n">
        <x:v>-0.7196826774691353</x:v>
      </x:c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</x:row>
    <x:row r="38">
      <x:c r="A38" s="65" t="str">
        <x:v>1982–1987</x:v>
      </x:c>
      <x:c r="B38" s="65" t="n">
        <x:v>1982</x:v>
      </x:c>
      <x:c r="C38" s="65" t="n">
        <x:v>1987</x:v>
      </x:c>
      <x:c r="D38" s="24" t="n">
        <x:v>-1.1160498649691348</x:v>
      </x:c>
      <x:c r="E38" s="24" t="n">
        <x:v>-1.668333333333333</x:v>
      </x:c>
      <x:c r="F38" s="24" t="n">
        <x:v>-0.5774074074074079</x:v>
      </x:c>
      <x:c r="G38" s="24" t="n">
        <x:v>-0.9586873070987645</x:v>
      </x:c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</x:row>
    <x:row r="39">
      <x:c r="A39" s="65" t="str">
        <x:v>1983–1988</x:v>
      </x:c>
      <x:c r="B39" s="65" t="n">
        <x:v>1983</x:v>
      </x:c>
      <x:c r="C39" s="65" t="n">
        <x:v>1988</x:v>
      </x:c>
      <x:c r="D39" s="24" t="n">
        <x:v>-1.4804571759259257</x:v>
      </x:c>
      <x:c r="E39" s="24" t="n">
        <x:v>-1.5354629629629635</x:v>
      </x:c>
      <x:c r="F39" s="24" t="n">
        <x:v>-0.7394444444444441</x:v>
      </x:c>
      <x:c r="G39" s="24" t="n">
        <x:v>-1.2235985725308627</x:v>
      </x:c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</x:row>
    <x:row r="40">
      <x:c r="A40" s="65" t="str">
        <x:v>1984–1989</x:v>
      </x:c>
      <x:c r="B40" s="65" t="n">
        <x:v>1984</x:v>
      </x:c>
      <x:c r="C40" s="65" t="n">
        <x:v>1989</x:v>
      </x:c>
      <x:c r="D40" s="24" t="n">
        <x:v>-0.2565470679012334</x:v>
      </x:c>
      <x:c r="E40" s="24" t="n">
        <x:v>0.5733333333333333</x:v>
      </x:c>
      <x:c r="F40" s="24" t="n">
        <x:v>-0.03203703703703753</x:v>
      </x:c>
      <x:c r="G40" s="24" t="n">
        <x:v>-0.17363233024691324</x:v>
      </x:c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</x:row>
    <x:row r="41">
      <x:c r="A41" s="65" t="str">
        <x:v>1985–1990</x:v>
      </x:c>
      <x:c r="B41" s="65" t="n">
        <x:v>1985</x:v>
      </x:c>
      <x:c r="C41" s="65" t="n">
        <x:v>1990</x:v>
      </x:c>
      <x:c r="D41" s="24" t="n">
        <x:v>-0.24107831790123302</x:v>
      </x:c>
      <x:c r="E41" s="24" t="n">
        <x:v>0.2983333333333332</x:v>
      </x:c>
      <x:c r="F41" s="24" t="n">
        <x:v>0.2979629629629627</x:v>
      </x:c>
      <x:c r="G41" s="24" t="n">
        <x:v>-0.2395177469135792</x:v>
      </x:c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</x:row>
    <x:row r="42">
      <x:c r="A42" s="65" t="str">
        <x:v>1986–1991</x:v>
      </x:c>
      <x:c r="B42" s="65" t="n">
        <x:v>1986</x:v>
      </x:c>
      <x:c r="C42" s="65" t="n">
        <x:v>1991</x:v>
      </x:c>
      <x:c r="D42" s="24" t="n">
        <x:v>0.2467689043209896</x:v>
      </x:c>
      <x:c r="E42" s="24" t="n">
        <x:v>1.3538888888888891</x:v>
      </x:c>
      <x:c r="F42" s="24" t="n">
        <x:v>0.4275925925925928</x:v>
      </x:c>
      <x:c r="G42" s="24" t="n">
        <x:v>0.2803510802469142</x:v>
      </x:c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</x:row>
    <x:row r="43">
      <x:c r="A43" s="65" t="str">
        <x:v>1987–1992</x:v>
      </x:c>
      <x:c r="B43" s="65" t="n">
        <x:v>1987</x:v>
      </x:c>
      <x:c r="C43" s="65" t="n">
        <x:v>1992</x:v>
      </x:c>
      <x:c r="D43" s="24" t="n">
        <x:v>1.0024305555555568</x:v>
      </x:c>
      <x:c r="E43" s="24" t="n">
        <x:v>2.872407407407407</x:v>
      </x:c>
      <x:c r="F43" s="24" t="n">
        <x:v>0.31185185185185194</x:v>
      </x:c>
      <x:c r="G43" s="24" t="n">
        <x:v>0.6461014660493835</x:v>
      </x:c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</x:row>
    <x:row r="44">
      <x:c r="A44" s="65" t="str">
        <x:v>1988–1993</x:v>
      </x:c>
      <x:c r="B44" s="65" t="n">
        <x:v>1988</x:v>
      </x:c>
      <x:c r="C44" s="65" t="n">
        <x:v>1993</x:v>
      </x:c>
      <x:c r="D44" s="24" t="n">
        <x:v>0.39888840663580255</x:v>
      </x:c>
      <x:c r="E44" s="24" t="n">
        <x:v>1.3506481481481474</x:v>
      </x:c>
      <x:c r="F44" s="24" t="n">
        <x:v>-0.033749999999999426</x:v>
      </x:c>
      <x:c r="G44" s="24" t="n">
        <x:v>-0.05469907407407323</x:v>
      </x:c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</x:row>
    <x:row r="45">
      <x:c r="A45" s="65" t="str">
        <x:v>1989–1994</x:v>
      </x:c>
      <x:c r="B45" s="65" t="n">
        <x:v>1989</x:v>
      </x:c>
      <x:c r="C45" s="65" t="n">
        <x:v>1994</x:v>
      </x:c>
      <x:c r="D45" s="24" t="n">
        <x:v>0.6919053819444453</x:v>
      </x:c>
      <x:c r="E45" s="24" t="n">
        <x:v>1.7025</x:v>
      </x:c>
      <x:c r="F45" s="24" t="n">
        <x:v>-0.08930555555555582</x:v>
      </x:c>
      <x:c r="G45" s="24" t="n">
        <x:v>-0.06723765432098731</x:v>
      </x:c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</x:row>
    <x:row r="46">
      <x:c r="A46" s="65" t="str">
        <x:v>1990–1995</x:v>
      </x:c>
      <x:c r="B46" s="65" t="n">
        <x:v>1990</x:v>
      </x:c>
      <x:c r="C46" s="65" t="n">
        <x:v>1995</x:v>
      </x:c>
      <x:c r="D46" s="24" t="n">
        <x:v>-0.5224078896604938</x:v>
      </x:c>
      <x:c r="E46" s="24" t="n">
        <x:v>0.16546296296296292</x:v>
      </x:c>
      <x:c r="F46" s="24" t="n">
        <x:v>-0.941157407407407</x:v>
      </x:c>
      <x:c r="G46" s="24" t="n">
        <x:v>-1.1905015432098756</x:v>
      </x:c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</x:row>
    <x:row r="47">
      <x:c r="A47" s="65" t="str">
        <x:v>1991–1996</x:v>
      </x:c>
      <x:c r="B47" s="65" t="n">
        <x:v>1991</x:v>
      </x:c>
      <x:c r="C47" s="65" t="n">
        <x:v>1996</x:v>
      </x:c>
      <x:c r="D47" s="24" t="n">
        <x:v>-0.4212408371913583</x:v>
      </x:c>
      <x:c r="E47" s="24" t="n">
        <x:v>0.3768518518518518</x:v>
      </x:c>
      <x:c r="F47" s="24" t="n">
        <x:v>-1.316435185185185</x:v>
      </x:c>
      <x:c r="G47" s="24" t="n">
        <x:v>-1.1148485725308637</x:v>
      </x:c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</x:row>
    <x:row r="48">
      <x:c r="A48" s="65" t="str">
        <x:v>1992–1997</x:v>
      </x:c>
      <x:c r="B48" s="65" t="n">
        <x:v>1992</x:v>
      </x:c>
      <x:c r="C48" s="65" t="n">
        <x:v>1997</x:v>
      </x:c>
      <x:c r="D48" s="24" t="n">
        <x:v>-0.8169005594135806</x:v>
      </x:c>
      <x:c r="E48" s="24" t="n">
        <x:v>0.07824074074074017</x:v>
      </x:c>
      <x:c r="F48" s="24" t="n">
        <x:v>-1.5687500000000003</x:v>
      </x:c>
      <x:c r="G48" s="24" t="n">
        <x:v>-1.7274884259259256</x:v>
      </x:c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</x:row>
    <x:row r="49">
      <x:c r="A49" s="65" t="str">
        <x:v>1993–1998</x:v>
      </x:c>
      <x:c r="B49" s="65" t="n">
        <x:v>1993</x:v>
      </x:c>
      <x:c r="C49" s="65" t="n">
        <x:v>1998</x:v>
      </x:c>
      <x:c r="D49" s="24" t="n">
        <x:v>-1.5553264853395057</x:v>
      </x:c>
      <x:c r="E49" s="24" t="n">
        <x:v>-1.2180555555555554</x:v>
      </x:c>
      <x:c r="F49" s="24" t="n">
        <x:v>-1.4946759259259264</x:v>
      </x:c>
      <x:c r="G49" s="24" t="n">
        <x:v>-1.992920524691357</x:v>
      </x:c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</x:row>
    <x:row r="50">
      <x:c r="A50" s="65" t="str">
        <x:v>1994–1999</x:v>
      </x:c>
      <x:c r="B50" s="65" t="n">
        <x:v>1994</x:v>
      </x:c>
      <x:c r="C50" s="65" t="n">
        <x:v>1999</x:v>
      </x:c>
      <x:c r="D50" s="24" t="n">
        <x:v>-0.6928264853395056</x:v>
      </x:c>
      <x:c r="E50" s="24" t="n">
        <x:v>0.13194444444444442</x:v>
      </x:c>
      <x:c r="F50" s="24" t="n">
        <x:v>-1.3821759259259256</x:v>
      </x:c>
      <x:c r="G50" s="24" t="n">
        <x:v>-0.7251470871913567</x:v>
      </x:c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</x:row>
    <x:row r="51">
      <x:c r="A51" s="65" t="str">
        <x:v>1995–2000</x:v>
      </x:c>
      <x:c r="B51" s="65" t="n">
        <x:v>1995</x:v>
      </x:c>
      <x:c r="C51" s="65" t="n">
        <x:v>2000</x:v>
      </x:c>
      <x:c r="D51" s="24" t="n">
        <x:v>-1.135414255401234</x:v>
      </x:c>
      <x:c r="E51" s="24" t="n">
        <x:v>-0.6291666666666674</x:v>
      </x:c>
      <x:c r="F51" s="24" t="n">
        <x:v>-1.273842592592592</x:v>
      </x:c>
      <x:c r="G51" s="24" t="n">
        <x:v>-1.5343629436728377</x:v>
      </x:c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</x:row>
    <x:row r="52">
      <x:c r="A52" s="65" t="str">
        <x:v>1996–2001</x:v>
      </x:c>
      <x:c r="B52" s="65" t="n">
        <x:v>1996</x:v>
      </x:c>
      <x:c r="C52" s="65" t="n">
        <x:v>2001</x:v>
      </x:c>
      <x:c r="D52" s="24" t="n">
        <x:v>-0.5561077353395059</x:v>
      </x:c>
      <x:c r="E52" s="24" t="n">
        <x:v>-0.8802777777777789</x:v>
      </x:c>
      <x:c r="F52" s="24" t="n">
        <x:v>-0.7064351851851849</x:v>
      </x:c>
      <x:c r="G52" s="24" t="n">
        <x:v>-1.0508858989197516</x:v>
      </x:c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</x:row>
    <x:row r="53">
      <x:c r="A53" s="65" t="str">
        <x:v>1997–2002</x:v>
      </x:c>
      <x:c r="B53" s="65" t="n">
        <x:v>1997</x:v>
      </x:c>
      <x:c r="C53" s="65" t="n">
        <x:v>2002</x:v>
      </x:c>
      <x:c r="D53" s="24" t="n">
        <x:v>-0.6623963155864189</x:v>
      </x:c>
      <x:c r="E53" s="24" t="n">
        <x:v>-0.9173148148148157</x:v>
      </x:c>
      <x:c r="F53" s="24" t="n">
        <x:v>-0.4101388888888888</x:v>
      </x:c>
      <x:c r="G53" s="24" t="n">
        <x:v>-1.0099908371913562</x:v>
      </x:c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</x:row>
    <x:row r="54">
      <x:c r="A54" s="65" t="str">
        <x:v>1998–2003</x:v>
      </x:c>
      <x:c r="B54" s="65" t="n">
        <x:v>1998</x:v>
      </x:c>
      <x:c r="C54" s="65" t="n">
        <x:v>2003</x:v>
      </x:c>
      <x:c r="D54" s="24" t="n">
        <x:v>-0.14580680941357946</x:v>
      </x:c>
      <x:c r="E54" s="24" t="n">
        <x:v>-1.1950925925925928</x:v>
      </x:c>
      <x:c r="F54" s="24" t="n">
        <x:v>-0.021249999999999603</x:v>
      </x:c>
      <x:c r="G54" s="24" t="n">
        <x:v>-0.5140417631172826</x:v>
      </x:c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</x:row>
    <x:row r="55">
      <x:c r="A55" s="65" t="str">
        <x:v>1999–2004</x:v>
      </x:c>
      <x:c r="B55" s="65" t="n">
        <x:v>1999</x:v>
      </x:c>
      <x:c r="C55" s="65" t="n">
        <x:v>2004</x:v>
      </x:c>
      <x:c r="D55" s="24" t="n">
        <x:v>0.13074707892416285</x:v>
      </x:c>
      <x:c r="E55" s="24" t="n">
        <x:v>-0.7698941798941812</x:v>
      </x:c>
      <x:c r="F55" s="24" t="n">
        <x:v>-0.09436507936507904</x:v>
      </x:c>
      <x:c r="G55" s="24" t="n">
        <x:v>-0.23446897045855253</x:v>
      </x:c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</x:row>
    <x:row r="56">
      <x:c r="A56" s="65" t="str">
        <x:v>2000–2005</x:v>
      </x:c>
      <x:c r="B56" s="65" t="n">
        <x:v>2000</x:v>
      </x:c>
      <x:c r="C56" s="65" t="n">
        <x:v>2005</x:v>
      </x:c>
      <x:c r="D56" s="24" t="n">
        <x:v>0.07129147376543217</x:v>
      </x:c>
      <x:c r="E56" s="24" t="n">
        <x:v>-0.9557407407407412</x:v>
      </x:c>
      <x:c r="F56" s="24" t="n">
        <x:v>0.48800925925925903</x:v>
      </x:c>
      <x:c r="G56" s="24" t="n">
        <x:v>-0.2520698302469128</x:v>
      </x:c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</x:row>
    <x:row r="57">
      <x:c r="A57" s="65" t="str">
        <x:v>2001–2006</x:v>
      </x:c>
      <x:c r="B57" s="65" t="n">
        <x:v>2001</x:v>
      </x:c>
      <x:c r="C57" s="65" t="n">
        <x:v>2006</x:v>
      </x:c>
      <x:c r="D57" s="24" t="n">
        <x:v>-0.4788628472222225</x:v>
      </x:c>
      <x:c r="E57" s="24" t="n">
        <x:v>-1.363148148148148</x:v>
      </x:c>
      <x:c r="F57" s="24" t="n">
        <x:v>-0.3453240740740746</x:v>
      </x:c>
      <x:c r="G57" s="24" t="n">
        <x:v>-0.5545389660493818</x:v>
      </x:c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</x:row>
    <x:row r="58">
      <x:c r="A58" s="65" t="str">
        <x:v>2002–2007</x:v>
      </x:c>
      <x:c r="B58" s="65" t="n">
        <x:v>2002</x:v>
      </x:c>
      <x:c r="C58" s="65" t="n">
        <x:v>2007</x:v>
      </x:c>
      <x:c r="D58" s="24" t="n">
        <x:v>-0.49662326388888917</x:v>
      </x:c>
      <x:c r="E58" s="24" t="n">
        <x:v>-0.8131481481481478</x:v>
      </x:c>
      <x:c r="F58" s="24" t="n">
        <x:v>-0.3453240740740746</x:v>
      </x:c>
      <x:c r="G58" s="24" t="n">
        <x:v>-0.5041222993827154</x:v>
      </x:c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</x:row>
    <x:row r="59">
      <x:c r="A59" s="65" t="str">
        <x:v>2003–2008</x:v>
      </x:c>
      <x:c r="B59" s="65" t="n">
        <x:v>2003</x:v>
      </x:c>
      <x:c r="C59" s="65" t="n">
        <x:v>2008</x:v>
      </x:c>
      <x:c r="D59" s="24" t="n">
        <x:v>-0.37606481481481563</x:v>
      </x:c>
      <x:c r="E59" s="24" t="n">
        <x:v>-0.9580555555555549</x:v>
      </x:c>
      <x:c r="F59" s="24" t="n">
        <x:v>-0.0698611111111113</x:v>
      </x:c>
      <x:c r="G59" s="24" t="n">
        <x:v>-0.29811824845678964</x:v>
      </x:c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</x:row>
    <x:row r="60">
      <x:c r="A60" s="65" t="str">
        <x:v>2004–2009</x:v>
      </x:c>
      <x:c r="B60" s="65" t="n">
        <x:v>2004</x:v>
      </x:c>
      <x:c r="C60" s="65" t="n">
        <x:v>2009</x:v>
      </x:c>
      <x:c r="D60" s="24" t="n">
        <x:v>-1.1962760416666678</x:v>
      </x:c>
      <x:c r="E60" s="24" t="n">
        <x:v>-1.5464814814814816</x:v>
      </x:c>
      <x:c r="F60" s="24" t="n">
        <x:v>-0.3897685185185185</x:v>
      </x:c>
      <x:c r="G60" s="24" t="n">
        <x:v>-0.5625135030864187</x:v>
      </x:c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</x:row>
    <x:row r="61">
      <x:c r="A61" s="65" t="str">
        <x:v>2005–2010</x:v>
      </x:c>
      <x:c r="B61" s="65" t="n">
        <x:v>2005</x:v>
      </x:c>
      <x:c r="C61" s="65" t="n">
        <x:v>2010</x:v>
      </x:c>
      <x:c r="D61" s="24" t="n">
        <x:v>-0.5525260416666679</x:v>
      </x:c>
      <x:c r="E61" s="24" t="n">
        <x:v>0.06601851851851907</x:v>
      </x:c>
      <x:c r="F61" s="24" t="n">
        <x:v>-0.18351851851851894</x:v>
      </x:c>
      <x:c r="G61" s="24" t="n">
        <x:v>-0.016810378086418682</x:v>
      </x:c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</x:row>
    <x:row r="62">
      <x:c r="A62" s="65" t="str">
        <x:v>2006–2011</x:v>
      </x:c>
      <x:c r="B62" s="65" t="n">
        <x:v>2006</x:v>
      </x:c>
      <x:c r="C62" s="65" t="n">
        <x:v>2011</x:v>
      </x:c>
      <x:c r="D62" s="24" t="n">
        <x:v>-0.08203993055555621</x:v>
      </x:c>
      <x:c r="E62" s="24" t="n">
        <x:v>0.6956481481481479</x:v>
      </x:c>
      <x:c r="F62" s="24" t="n">
        <x:v>0.11277777777777735</x:v>
      </x:c>
      <x:c r="G62" s="24" t="n">
        <x:v>0.3039843750000008</x:v>
      </x:c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</x:row>
    <x:row r="63">
      <x:c r="A63" s="65" t="str">
        <x:v>2007–2012</x:v>
      </x:c>
      <x:c r="B63" s="65" t="n">
        <x:v>2007</x:v>
      </x:c>
      <x:c r="C63" s="65" t="n">
        <x:v>2012</x:v>
      </x:c>
      <x:c r="D63" s="24" t="n">
        <x:v>0.5066020447530852</x:v>
      </x:c>
      <x:c r="E63" s="24" t="n">
        <x:v>1.2023148148148142</x:v>
      </x:c>
      <x:c r="F63" s="24" t="n">
        <x:v>0.6148148148148146</x:v>
      </x:c>
      <x:c r="G63" s="24" t="n">
        <x:v>1.0530912422839507</x:v>
      </x:c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</x:row>
    <x:row r="64">
      <x:c r="A64" s="65" t="str">
        <x:v>2008–2013</x:v>
      </x:c>
      <x:c r="B64" s="65" t="n">
        <x:v>2008</x:v>
      </x:c>
      <x:c r="C64" s="65" t="n">
        <x:v>2013</x:v>
      </x:c>
      <x:c r="D64" s="24" t="n">
        <x:v>0.33470775462962865</x:v>
      </x:c>
      <x:c r="E64" s="24" t="n">
        <x:v>1.0126851851851846</x:v>
      </x:c>
      <x:c r="F64" s="24" t="n">
        <x:v>0.4887037037037036</x:v>
      </x:c>
      <x:c r="G64" s="24" t="n">
        <x:v>0.8309673996913581</x:v>
      </x:c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</x:row>
    <x:row r="65">
      <x:c r="A65" s="65" t="str">
        <x:v>2009–2014</x:v>
      </x:c>
      <x:c r="B65" s="65" t="n">
        <x:v>2009</x:v>
      </x:c>
      <x:c r="C65" s="65" t="n">
        <x:v>2014</x:v>
      </x:c>
      <x:c r="D65" s="24" t="n">
        <x:v>0.18077256944444264</x:v>
      </x:c>
      <x:c r="E65" s="24" t="n">
        <x:v>0.6423148148148142</x:v>
      </x:c>
      <x:c r="F65" s="24" t="n">
        <x:v>0.19240740740740706</x:v>
      </x:c>
      <x:c r="G65" s="24" t="n">
        <x:v>0.6160754243827157</x:v>
      </x:c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</x:row>
    <x:row r="66">
      <x:c r="A66" s="65" t="str">
        <x:v>2010–2015</x:v>
      </x:c>
      <x:c r="B66" s="65" t="n">
        <x:v>2010</x:v>
      </x:c>
      <x:c r="C66" s="65" t="n">
        <x:v>2015</x:v>
      </x:c>
      <x:c r="D66" s="24" t="n">
        <x:v>1.0679253472222208</x:v>
      </x:c>
      <x:c r="E66" s="24" t="n">
        <x:v>1.9756481481481483</x:v>
      </x:c>
      <x:c r="F66" s="24" t="n">
        <x:v>0.7849999999999988</x:v>
      </x:c>
      <x:c r="G66" s="24" t="n">
        <x:v>1.200951967592592</x:v>
      </x:c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</x:row>
    <x:row r="67">
      <x:c r="A67" s="65" t="str">
        <x:v>2011–2016</x:v>
      </x:c>
      <x:c r="B67" s="65" t="n">
        <x:v>2011</x:v>
      </x:c>
      <x:c r="C67" s="65" t="n">
        <x:v>2016</x:v>
      </x:c>
      <x:c r="D67" s="24" t="n">
        <x:v>0.46566840277777694</x:v>
      </x:c>
      <x:c r="E67" s="24" t="n">
        <x:v>-0.1627777777777779</x:v>
      </x:c>
      <x:c r="F67" s="24" t="n">
        <x:v>0.6738888888888885</x:v>
      </x:c>
      <x:c r="G67" s="24" t="n">
        <x:v>0.7896479552469121</x:v>
      </x:c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</x:row>
    <x:row r="68">
      <x:c r="A68" s="65" t="str">
        <x:v>2012–2017</x:v>
      </x:c>
      <x:c r="B68" s="65" t="n">
        <x:v>2012</x:v>
      </x:c>
      <x:c r="C68" s="65" t="n">
        <x:v>2017</x:v>
      </x:c>
      <x:c r="D68" s="24" t="n">
        <x:v>0.6352044753086411</x:v>
      </x:c>
      <x:c r="E68" s="24" t="n">
        <x:v>0.017777777777778263</x:v>
      </x:c>
      <x:c r="F68" s="24" t="n">
        <x:v>0.8349999999999996</x:v>
      </x:c>
      <x:c r="G68" s="24" t="n">
        <x:v>0.8881770833333323</x:v>
      </x:c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</x:row>
    <x:row r="69">
      <x:c r="A69" s="65" t="str">
        <x:v>2013–2018</x:v>
      </x:c>
      <x:c r="B69" s="65" t="n">
        <x:v>2013</x:v>
      </x:c>
      <x:c r="C69" s="65" t="n">
        <x:v>2018</x:v>
      </x:c>
      <x:c r="D69" s="24" t="n">
        <x:v>0.5834510030864198</x:v>
      </x:c>
      <x:c r="E69" s="24" t="n">
        <x:v>0.017777777777778354</x:v>
      </x:c>
      <x:c r="F69" s="24" t="n">
        <x:v>0.8349999999999995</x:v>
      </x:c>
      <x:c r="G69" s="24" t="n">
        <x:v>0.836614583333333</x:v>
      </x:c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</x:row>
    <x:row r="70">
      <x:c r="A70" s="65" t="str">
        <x:v>2014–2019</x:v>
      </x:c>
      <x:c r="B70" s="65" t="n">
        <x:v>2014</x:v>
      </x:c>
      <x:c r="C70" s="65" t="n">
        <x:v>2019</x:v>
      </x:c>
      <x:c r="D70" s="24" t="n">
        <x:v>0.7931346450617286</x:v>
      </x:c>
      <x:c r="E70" s="24" t="n">
        <x:v>0.20296296296296346</x:v>
      </x:c>
      <x:c r="F70" s="24" t="n">
        <x:v>0.6683333333333326</x:v>
      </x:c>
      <x:c r="G70" s="24" t="n">
        <x:v>0.9658584104938269</x:v>
      </x:c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</x:row>
    <x:row r="71">
      <x:c r="A71" s="174" t="str">
        <x:v>2020–2025</x:v>
      </x:c>
      <x:c r="B71" s="175" t="n">
        <x:v>2020</x:v>
      </x:c>
      <x:c r="C71" s="175" t="n">
        <x:v>2025</x:v>
      </x:c>
      <x:c r="D71" s="176" t="n">
        <x:v>0.9429070216049364</x:v>
      </x:c>
      <x:c r="E71" s="176" t="n">
        <x:v>2.8696296296296286</x:v>
      </x:c>
      <x:c r="F71" s="176" t="n">
        <x:v>-0.2559259259259259</x:v>
      </x:c>
      <x:c r="G71" s="177" t="n">
        <x:v>0.5807889660493833</x:v>
      </x:c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</x:row>
    <x:row r="75">
      <x:c r="A75" s="73" t="str">
        <x:v>Ventanas de cinco años: sensibilidad 2021–2025</x:v>
      </x:c>
      <x:c r="B75" s="74"/>
      <x:c r="C75" s="74"/>
      <x:c r="D75" s="74"/>
      <x:c r="E75" s="74"/>
      <x:c r="F75" s="74"/>
      <x:c r="G75" s="75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</x:row>
    <x:row r="76">
      <x:c r="A76" s="8" t="str">
        <x:v>Ventana</x:v>
      </x:c>
      <x:c r="B76" s="8" t="str">
        <x:v>Inicio</x:v>
      </x:c>
      <x:c r="C76" s="8" t="str">
        <x:v>Fin</x:v>
      </x:c>
      <x:c r="D76" s="8" t="str">
        <x:v>Temperatura media</x:v>
      </x:c>
      <x:c r="E76" s="8" t="str">
        <x:v>Máxima diurna</x:v>
      </x:c>
      <x:c r="F76" s="8" t="str">
        <x:v>Mínima nocturna</x:v>
      </x:c>
      <x:c r="G76" s="8" t="str">
        <x:v>Temperatura aparente media</x:v>
      </x:c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</x:row>
    <x:row r="77">
      <x:c r="A77" s="61" t="str">
        <x:v>1950–1954</x:v>
      </x:c>
      <x:c r="B77" s="61" t="n">
        <x:v>1950</x:v>
      </x:c>
      <x:c r="C77" s="61" t="n">
        <x:v>1954</x:v>
      </x:c>
      <x:c r="D77" s="21" t="n">
        <x:v>0.3630000000000006</x:v>
      </x:c>
      <x:c r="E77" s="21" t="n">
        <x:v>-0.22416666666666699</x:v>
      </x:c>
      <x:c r="F77" s="21" t="n">
        <x:v>-0.02538888888888846</x:v>
      </x:c>
      <x:c r="G77" s="21" t="n">
        <x:v>0.07410011574074087</x:v>
      </x:c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</x:row>
    <x:row r="78">
      <x:c r="A78" s="65" t="str">
        <x:v>1951–1955</x:v>
      </x:c>
      <x:c r="B78" s="65" t="n">
        <x:v>1951</x:v>
      </x:c>
      <x:c r="C78" s="65" t="n">
        <x:v>1955</x:v>
      </x:c>
      <x:c r="D78" s="24" t="n">
        <x:v>-0.14024074074073917</x:v>
      </x:c>
      <x:c r="E78" s="24" t="n">
        <x:v>-0.47750000000000076</x:v>
      </x:c>
      <x:c r="F78" s="24" t="n">
        <x:v>0.06794444444444454</x:v>
      </x:c>
      <x:c r="G78" s="24" t="n">
        <x:v>-0.22226562499999897</x:v>
      </x:c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</x:row>
    <x:row r="79">
      <x:c r="A79" s="65" t="str">
        <x:v>1952–1956</x:v>
      </x:c>
      <x:c r="B79" s="65" t="n">
        <x:v>1952</x:v>
      </x:c>
      <x:c r="C79" s="65" t="n">
        <x:v>1956</x:v>
      </x:c>
      <x:c r="D79" s="24" t="n">
        <x:v>-0.06965740740740678</x:v>
      </x:c>
      <x:c r="E79" s="24" t="n">
        <x:v>-0.47750000000000076</x:v>
      </x:c>
      <x:c r="F79" s="24" t="n">
        <x:v>0.06794444444444453</x:v>
      </x:c>
      <x:c r="G79" s="24" t="n">
        <x:v>0.09375520833333453</x:v>
      </x:c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</x:row>
    <x:row r="80">
      <x:c r="A80" s="65" t="str">
        <x:v>1953–1957</x:v>
      </x:c>
      <x:c r="B80" s="65" t="n">
        <x:v>1953</x:v>
      </x:c>
      <x:c r="C80" s="65" t="n">
        <x:v>1957</x:v>
      </x:c>
      <x:c r="D80" s="24" t="n">
        <x:v>-0.38053703703703556</x:v>
      </x:c>
      <x:c r="E80" s="24" t="n">
        <x:v>-0.7619444444444445</x:v>
      </x:c>
      <x:c r="F80" s="24" t="n">
        <x:v>0.12350000000000019</x:v>
      </x:c>
      <x:c r="G80" s="24" t="n">
        <x:v>-0.08818923611111115</x:v>
      </x:c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</x:row>
    <x:row r="81">
      <x:c r="A81" s="65" t="str">
        <x:v>1954–1958</x:v>
      </x:c>
      <x:c r="B81" s="65" t="n">
        <x:v>1954</x:v>
      </x:c>
      <x:c r="C81" s="65" t="n">
        <x:v>1958</x:v>
      </x:c>
      <x:c r="D81" s="24" t="n">
        <x:v>-0.649078703703702</x:v>
      </x:c>
      <x:c r="E81" s="24" t="n">
        <x:v>-1.3150555555555552</x:v>
      </x:c>
      <x:c r="F81" s="24" t="n">
        <x:v>0.09172222222222284</x:v>
      </x:c>
      <x:c r="G81" s="24" t="n">
        <x:v>-0.25193229166666614</x:v>
      </x:c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</x:row>
    <x:row r="82">
      <x:c r="A82" s="65" t="str">
        <x:v>1955–1959</x:v>
      </x:c>
      <x:c r="B82" s="65" t="n">
        <x:v>1955</x:v>
      </x:c>
      <x:c r="C82" s="65" t="n">
        <x:v>1959</x:v>
      </x:c>
      <x:c r="D82" s="24" t="n">
        <x:v>0.40817129629629684</x:v>
      </x:c>
      <x:c r="E82" s="24" t="n">
        <x:v>-0.11155555555555532</x:v>
      </x:c>
      <x:c r="F82" s="24" t="n">
        <x:v>0.8002222222222228</x:v>
      </x:c>
      <x:c r="G82" s="24" t="n">
        <x:v>0.8555416666666682</x:v>
      </x:c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</x:row>
    <x:row r="83">
      <x:c r="A83" s="65" t="str">
        <x:v>1956–1960</x:v>
      </x:c>
      <x:c r="B83" s="65" t="n">
        <x:v>1956</x:v>
      </x:c>
      <x:c r="C83" s="65" t="n">
        <x:v>1960</x:v>
      </x:c>
      <x:c r="D83" s="24" t="n">
        <x:v>1.0090972222222225</x:v>
      </x:c>
      <x:c r="E83" s="24" t="n">
        <x:v>0.8884444444444448</x:v>
      </x:c>
      <x:c r="F83" s="24" t="n">
        <x:v>1.0891111111111118</x:v>
      </x:c>
      <x:c r="G83" s="24" t="n">
        <x:v>1.1518379629629636</x:v>
      </x:c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</x:row>
    <x:row r="84">
      <x:c r="A84" s="65" t="str">
        <x:v>1957–1961</x:v>
      </x:c>
      <x:c r="B84" s="65" t="n">
        <x:v>1957</x:v>
      </x:c>
      <x:c r="C84" s="65" t="n">
        <x:v>1961</x:v>
      </x:c>
      <x:c r="D84" s="24" t="n">
        <x:v>0.824287037037038</x:v>
      </x:c>
      <x:c r="E84" s="24" t="n">
        <x:v>0.32044444444444464</x:v>
      </x:c>
      <x:c r="F84" s="24" t="n">
        <x:v>0.8071111111111119</x:v>
      </x:c>
      <x:c r="G84" s="24" t="n">
        <x:v>0.8931134259259264</x:v>
      </x:c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</x:row>
    <x:row r="85">
      <x:c r="A85" s="65" t="str">
        <x:v>1958–1962</x:v>
      </x:c>
      <x:c r="B85" s="65" t="n">
        <x:v>1958</x:v>
      </x:c>
      <x:c r="C85" s="65" t="n">
        <x:v>1962</x:v>
      </x:c>
      <x:c r="D85" s="24" t="n">
        <x:v>0.9676273148148157</x:v>
      </x:c>
      <x:c r="E85" s="24" t="n">
        <x:v>0.3086666666666675</x:v>
      </x:c>
      <x:c r="F85" s="24" t="n">
        <x:v>0.8380000000000007</x:v>
      </x:c>
      <x:c r="G85" s="24" t="n">
        <x:v>0.9893449074074085</x:v>
      </x:c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</x:row>
    <x:row r="86">
      <x:c r="A86" s="65" t="str">
        <x:v>1959–1963</x:v>
      </x:c>
      <x:c r="B86" s="65" t="n">
        <x:v>1959</x:v>
      </x:c>
      <x:c r="C86" s="65" t="n">
        <x:v>1963</x:v>
      </x:c>
      <x:c r="D86" s="24" t="n">
        <x:v>1.5046643518518519</x:v>
      </x:c>
      <x:c r="E86" s="24" t="n">
        <x:v>1.0020000000000013</x:v>
      </x:c>
      <x:c r="F86" s="24" t="n">
        <x:v>1.649111111111111</x:v>
      </x:c>
      <x:c r="G86" s="24" t="n">
        <x:v>1.269900462962964</x:v>
      </x:c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</x:row>
    <x:row r="87">
      <x:c r="A87" s="65" t="str">
        <x:v>1960–1964</x:v>
      </x:c>
      <x:c r="B87" s="65" t="n">
        <x:v>1960</x:v>
      </x:c>
      <x:c r="C87" s="65" t="n">
        <x:v>1964</x:v>
      </x:c>
      <x:c r="D87" s="24" t="n">
        <x:v>0.4246018518518526</x:v>
      </x:c>
      <x:c r="E87" s="24" t="n">
        <x:v>-0.7359999999999985</x:v>
      </x:c>
      <x:c r="F87" s="24" t="n">
        <x:v>1.3411111111111111</x:v>
      </x:c>
      <x:c r="G87" s="24" t="n">
        <x:v>0.3827962962962951</x:v>
      </x:c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</x:row>
    <x:row r="88">
      <x:c r="A88" s="65" t="str">
        <x:v>1961–1965</x:v>
      </x:c>
      <x:c r="B88" s="65" t="n">
        <x:v>1961</x:v>
      </x:c>
      <x:c r="C88" s="65" t="n">
        <x:v>1965</x:v>
      </x:c>
      <x:c r="D88" s="24" t="n">
        <x:v>0.9180914351851861</x:v>
      </x:c>
      <x:c r="E88" s="24" t="n">
        <x:v>-0.5662777777777764</x:v>
      </x:c>
      <x:c r="F88" s="24" t="n">
        <x:v>2.1133333333333333</x:v>
      </x:c>
      <x:c r="G88" s="24" t="n">
        <x:v>1.4534994212962953</x:v>
      </x:c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</x:row>
    <x:row r="89">
      <x:c r="A89" s="65" t="str">
        <x:v>1962–1966</x:v>
      </x:c>
      <x:c r="B89" s="65" t="n">
        <x:v>1962</x:v>
      </x:c>
      <x:c r="C89" s="65" t="n">
        <x:v>1966</x:v>
      </x:c>
      <x:c r="D89" s="24" t="n">
        <x:v>1.1139247685185185</x:v>
      </x:c>
      <x:c r="E89" s="24" t="n">
        <x:v>-0.4196111111111092</x:v>
      </x:c>
      <x:c r="F89" s="24" t="n">
        <x:v>2.1399999999999997</x:v>
      </x:c>
      <x:c r="G89" s="24" t="n">
        <x:v>1.3238003472222206</x:v>
      </x:c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</x:row>
    <x:row r="90">
      <x:c r="A90" s="65" t="str">
        <x:v>1963–1967</x:v>
      </x:c>
      <x:c r="B90" s="65" t="n">
        <x:v>1963</x:v>
      </x:c>
      <x:c r="C90" s="65" t="n">
        <x:v>1967</x:v>
      </x:c>
      <x:c r="D90" s="24" t="n">
        <x:v>0.2541724537037037</x:v>
      </x:c>
      <x:c r="E90" s="24" t="n">
        <x:v>-1.4567222222222216</x:v>
      </x:c>
      <x:c r="F90" s="24" t="n">
        <x:v>1.5913333333333328</x:v>
      </x:c>
      <x:c r="G90" s="24" t="n">
        <x:v>0.8090966435185167</x:v>
      </x:c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</x:row>
    <x:row r="91">
      <x:c r="A91" s="65" t="str">
        <x:v>1964–1968</x:v>
      </x:c>
      <x:c r="B91" s="65" t="n">
        <x:v>1964</x:v>
      </x:c>
      <x:c r="C91" s="65" t="n">
        <x:v>1968</x:v>
      </x:c>
      <x:c r="D91" s="24" t="n">
        <x:v>-0.17036458333333332</x:v>
      </x:c>
      <x:c r="E91" s="24" t="n">
        <x:v>-1.6344999999999992</x:v>
      </x:c>
      <x:c r="F91" s="24" t="n">
        <x:v>0.7691111111111109</x:v>
      </x:c>
      <x:c r="G91" s="24" t="n">
        <x:v>0.48710590277777577</x:v>
      </x:c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</x:row>
    <x:row r="92">
      <x:c r="A92" s="65" t="str">
        <x:v>1965–1969</x:v>
      </x:c>
      <x:c r="B92" s="65" t="n">
        <x:v>1965</x:v>
      </x:c>
      <x:c r="C92" s="65" t="n">
        <x:v>1969</x:v>
      </x:c>
      <x:c r="D92" s="24" t="n">
        <x:v>0.0781655092592588</x:v>
      </x:c>
      <x:c r="E92" s="24" t="n">
        <x:v>-0.17694444444444485</x:v>
      </x:c>
      <x:c r="F92" s="24" t="n">
        <x:v>0.7611111111111108</x:v>
      </x:c>
      <x:c r="G92" s="24" t="n">
        <x:v>0.5842447916666654</x:v>
      </x:c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</x:row>
    <x:row r="93">
      <x:c r="A93" s="65" t="str">
        <x:v>1966–1970</x:v>
      </x:c>
      <x:c r="B93" s="65" t="n">
        <x:v>1966</x:v>
      </x:c>
      <x:c r="C93" s="65" t="n">
        <x:v>1970</x:v>
      </x:c>
      <x:c r="D93" s="24" t="n">
        <x:v>-1.0403657407407416</x:v>
      </x:c>
      <x:c r="E93" s="24" t="n">
        <x:v>-1.534444444444445</x:v>
      </x:c>
      <x:c r="F93" s="24" t="n">
        <x:v>-0.3448888888888891</x:v>
      </x:c>
      <x:c r="G93" s="24" t="n">
        <x:v>-0.8263958333333346</x:v>
      </x:c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</x:row>
    <x:row r="94">
      <x:c r="A94" s="65" t="str">
        <x:v>1967–1971</x:v>
      </x:c>
      <x:c r="B94" s="65" t="n">
        <x:v>1967</x:v>
      </x:c>
      <x:c r="C94" s="65" t="n">
        <x:v>1971</x:v>
      </x:c>
      <x:c r="D94" s="24" t="n">
        <x:v>-1.01140451388889</x:v>
      </x:c>
      <x:c r="E94" s="24" t="n">
        <x:v>-1.0611111111111116</x:v>
      </x:c>
      <x:c r="F94" s="24" t="n">
        <x:v>0.03594444444444458</x:v>
      </x:c>
      <x:c r="G94" s="24" t="n">
        <x:v>-0.8864826388888905</x:v>
      </x:c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</x:row>
    <x:row r="95">
      <x:c r="A95" s="65" t="str">
        <x:v>1968–1972</x:v>
      </x:c>
      <x:c r="B95" s="65" t="n">
        <x:v>1968</x:v>
      </x:c>
      <x:c r="C95" s="65" t="n">
        <x:v>1972</x:v>
      </x:c>
      <x:c r="D95" s="24" t="n">
        <x:v>0.39716030092592425</x:v>
      </x:c>
      <x:c r="E95" s="24" t="n">
        <x:v>1.005555555555555</x:v>
      </x:c>
      <x:c r="F95" s="24" t="n">
        <x:v>0.9026111111111117</x:v>
      </x:c>
      <x:c r="G95" s="24" t="n">
        <x:v>0.07578587962962846</x:v>
      </x:c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</x:row>
    <x:row r="96">
      <x:c r="A96" s="65" t="str">
        <x:v>1969–1973</x:v>
      </x:c>
      <x:c r="B96" s="65" t="n">
        <x:v>1969</x:v>
      </x:c>
      <x:c r="C96" s="65" t="n">
        <x:v>1973</x:v>
      </x:c>
      <x:c r="D96" s="24" t="n">
        <x:v>0.39824363425925835</x:v>
      </x:c>
      <x:c r="E96" s="24" t="n">
        <x:v>0.9491111111111105</x:v>
      </x:c>
      <x:c r="F96" s="24" t="n">
        <x:v>0.8675000000000003</x:v>
      </x:c>
      <x:c r="G96" s="24" t="n">
        <x:v>-0.024765046296297954</x:v>
      </x:c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</x:row>
    <x:row r="97">
      <x:c r="A97" s="65" t="str">
        <x:v>1970–1974</x:v>
      </x:c>
      <x:c r="B97" s="65" t="n">
        <x:v>1970</x:v>
      </x:c>
      <x:c r="C97" s="65" t="n">
        <x:v>1974</x:v>
      </x:c>
      <x:c r="D97" s="24" t="n">
        <x:v>0.526252893518518</x:v>
      </x:c>
      <x:c r="E97" s="24" t="n">
        <x:v>0.598</x:v>
      </x:c>
      <x:c r="F97" s="24" t="n">
        <x:v>0.6786111111111117</x:v>
      </x:c>
      <x:c r="G97" s="24" t="n">
        <x:v>0.02037384259259074</x:v>
      </x:c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</x:row>
    <x:row r="98">
      <x:c r="A98" s="65" t="str">
        <x:v>1971–1975</x:v>
      </x:c>
      <x:c r="B98" s="65" t="n">
        <x:v>1971</x:v>
      </x:c>
      <x:c r="C98" s="65" t="n">
        <x:v>1975</x:v>
      </x:c>
      <x:c r="D98" s="24" t="n">
        <x:v>0.6591417824074071</x:v>
      </x:c>
      <x:c r="E98" s="24" t="n">
        <x:v>1.261333333333333</x:v>
      </x:c>
      <x:c r="F98" s="24" t="n">
        <x:v>0.2923888888888892</x:v>
      </x:c>
      <x:c r="G98" s="24" t="n">
        <x:v>0.11126041666666511</x:v>
      </x:c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</x:row>
    <x:row r="99">
      <x:c r="A99" s="65" t="str">
        <x:v>1972–1976</x:v>
      </x:c>
      <x:c r="B99" s="65" t="n">
        <x:v>1972</x:v>
      </x:c>
      <x:c r="C99" s="65" t="n">
        <x:v>1976</x:v>
      </x:c>
      <x:c r="D99" s="24" t="n">
        <x:v>0.027969907407407214</x:v>
      </x:c>
      <x:c r="E99" s="24" t="n">
        <x:v>0.5863333333333328</x:v>
      </x:c>
      <x:c r="F99" s="24" t="n">
        <x:v>-0.47261111111111126</x:v>
      </x:c>
      <x:c r="G99" s="24" t="n">
        <x:v>-0.0535052083333345</x:v>
      </x:c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</x:row>
    <x:row r="100">
      <x:c r="A100" s="65" t="str">
        <x:v>1973–1977</x:v>
      </x:c>
      <x:c r="B100" s="65" t="n">
        <x:v>1973</x:v>
      </x:c>
      <x:c r="C100" s="65" t="n">
        <x:v>1977</x:v>
      </x:c>
      <x:c r="D100" s="24" t="n">
        <x:v>-1.1630023148148148</x:v>
      </x:c>
      <x:c r="E100" s="24" t="n">
        <x:v>-0.15588888888888958</x:v>
      </x:c>
      <x:c r="F100" s="24" t="n">
        <x:v>-2.023722222222222</x:v>
      </x:c>
      <x:c r="G100" s="24" t="n">
        <x:v>-1.4829728009259273</x:v>
      </x:c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</x:row>
    <x:row r="101">
      <x:c r="A101" s="65" t="str">
        <x:v>1974–1978</x:v>
      </x:c>
      <x:c r="B101" s="65" t="n">
        <x:v>1974</x:v>
      </x:c>
      <x:c r="C101" s="65" t="n">
        <x:v>1978</x:v>
      </x:c>
      <x:c r="D101" s="24" t="n">
        <x:v>-1.4663773148148156</x:v>
      </x:c>
      <x:c r="E101" s="24" t="n">
        <x:v>-0.8372222222222238</x:v>
      </x:c>
      <x:c r="F101" s="24" t="n">
        <x:v>-2.1063888888888886</x:v>
      </x:c>
      <x:c r="G101" s="24" t="n">
        <x:v>-1.3948755787037057</x:v>
      </x:c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</x:row>
    <x:row r="102">
      <x:c r="A102" s="65" t="str">
        <x:v>1975–1979</x:v>
      </x:c>
      <x:c r="B102" s="65" t="n">
        <x:v>1975</x:v>
      </x:c>
      <x:c r="C102" s="65" t="n">
        <x:v>1979</x:v>
      </x:c>
      <x:c r="D102" s="24" t="n">
        <x:v>-1.3830208333333345</x:v>
      </x:c>
      <x:c r="E102" s="24" t="n">
        <x:v>-0.717666666666668</x:v>
      </x:c>
      <x:c r="F102" s="24" t="n">
        <x:v>-2.0754999999999995</x:v>
      </x:c>
      <x:c r="G102" s="24" t="n">
        <x:v>-1.28669502314815</x:v>
      </x:c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</x:row>
    <x:row r="103">
      <x:c r="A103" s="65" t="str">
        <x:v>1976–1980</x:v>
      </x:c>
      <x:c r="B103" s="65" t="n">
        <x:v>1976</x:v>
      </x:c>
      <x:c r="C103" s="65" t="n">
        <x:v>1980</x:v>
      </x:c>
      <x:c r="D103" s="24" t="n">
        <x:v>-0.8918171296296308</x:v>
      </x:c>
      <x:c r="E103" s="24" t="n">
        <x:v>0.2378888888888886</x:v>
      </x:c>
      <x:c r="F103" s="24" t="n">
        <x:v>-1.6755</x:v>
      </x:c>
      <x:c r="G103" s="24" t="n">
        <x:v>-0.7598431712962982</x:v>
      </x:c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</x:row>
    <x:row r="104">
      <x:c r="A104" s="65" t="str">
        <x:v>1977–1981</x:v>
      </x:c>
      <x:c r="B104" s="65" t="n">
        <x:v>1977</x:v>
      </x:c>
      <x:c r="C104" s="65" t="n">
        <x:v>1981</x:v>
      </x:c>
      <x:c r="D104" s="24" t="n">
        <x:v>-0.581087962962964</x:v>
      </x:c>
      <x:c r="E104" s="24" t="n">
        <x:v>0.5808888888888888</x:v>
      </x:c>
      <x:c r="F104" s="24" t="n">
        <x:v>-1.6619999999999997</x:v>
      </x:c>
      <x:c r="G104" s="24" t="n">
        <x:v>-0.6786712962962981</x:v>
      </x:c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</x:row>
    <x:row r="105">
      <x:c r="A105" s="65" t="str">
        <x:v>1978–1982</x:v>
      </x:c>
      <x:c r="B105" s="65" t="n">
        <x:v>1978</x:v>
      </x:c>
      <x:c r="C105" s="65" t="n">
        <x:v>1982</x:v>
      </x:c>
      <x:c r="D105" s="24" t="n">
        <x:v>0.5474623842592589</x:v>
      </x:c>
      <x:c r="E105" s="24" t="n">
        <x:v>0.6775555555555561</x:v>
      </x:c>
      <x:c r="F105" s="24" t="n">
        <x:v>0.07911111111111122</x:v>
      </x:c>
      <x:c r="G105" s="24" t="n">
        <x:v>1.049471064814813</x:v>
      </x:c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</x:row>
    <x:row r="106">
      <x:c r="A106" s="65" t="str">
        <x:v>1979–1983</x:v>
      </x:c>
      <x:c r="B106" s="65" t="n">
        <x:v>1979</x:v>
      </x:c>
      <x:c r="C106" s="65" t="n">
        <x:v>1983</x:v>
      </x:c>
      <x:c r="D106" s="24" t="n">
        <x:v>0.24977719907407386</x:v>
      </x:c>
      <x:c r="E106" s="24" t="n">
        <x:v>0.44644444444444564</x:v>
      </x:c>
      <x:c r="F106" s="24" t="n">
        <x:v>-0.2497777777777777</x:v>
      </x:c>
      <x:c r="G106" s="24" t="n">
        <x:v>0.5838923611111109</x:v>
      </x:c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</x:row>
    <x:row r="107">
      <x:c r="A107" s="65" t="str">
        <x:v>1980–1984</x:v>
      </x:c>
      <x:c r="B107" s="65" t="n">
        <x:v>1980</x:v>
      </x:c>
      <x:c r="C107" s="65" t="n">
        <x:v>1984</x:v>
      </x:c>
      <x:c r="D107" s="24" t="n">
        <x:v>0.12694386574074043</x:v>
      </x:c>
      <x:c r="E107" s="24" t="n">
        <x:v>0.49044444444444535</x:v>
      </x:c>
      <x:c r="F107" s="24" t="n">
        <x:v>-0.6457777777777778</x:v>
      </x:c>
      <x:c r="G107" s="24" t="n">
        <x:v>0.5162881944444448</x:v>
      </x:c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</x:row>
    <x:row r="108">
      <x:c r="A108" s="65" t="str">
        <x:v>1981–1985</x:v>
      </x:c>
      <x:c r="B108" s="65" t="n">
        <x:v>1981</x:v>
      </x:c>
      <x:c r="C108" s="65" t="n">
        <x:v>1985</x:v>
      </x:c>
      <x:c r="D108" s="24" t="n">
        <x:v>-0.5515283564814821</x:v>
      </x:c>
      <x:c r="E108" s="24" t="n">
        <x:v>-1.1717777777777776</x:v>
      </x:c>
      <x:c r="F108" s="24" t="n">
        <x:v>-0.9457777777777778</x:v>
      </x:c>
      <x:c r="G108" s="24" t="n">
        <x:v>-0.2545451388888879</x:v>
      </x:c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</x:row>
    <x:row r="109">
      <x:c r="A109" s="65" t="str">
        <x:v>1982–1986</x:v>
      </x:c>
      <x:c r="B109" s="65" t="n">
        <x:v>1982</x:v>
      </x:c>
      <x:c r="C109" s="65" t="n">
        <x:v>1986</x:v>
      </x:c>
      <x:c r="D109" s="24" t="n">
        <x:v>-0.9623848379629625</x:v>
      </x:c>
      <x:c r="E109" s="24" t="n">
        <x:v>-2.015333333333333</x:v>
      </x:c>
      <x:c r="F109" s="24" t="n">
        <x:v>-0.5173333333333336</x:v>
      </x:c>
      <x:c r="G109" s="24" t="n">
        <x:v>-0.5652395833333322</x:v>
      </x:c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</x:row>
    <x:row r="110">
      <x:c r="A110" s="65" t="str">
        <x:v>1983–1987</x:v>
      </x:c>
      <x:c r="B110" s="65" t="n">
        <x:v>1983</x:v>
      </x:c>
      <x:c r="C110" s="65" t="n">
        <x:v>1987</x:v>
      </x:c>
      <x:c r="D110" s="24" t="n">
        <x:v>-1.8924004629629625</x:v>
      </x:c>
      <x:c r="E110" s="24" t="n">
        <x:v>-2.4593333333333334</x:v>
      </x:c>
      <x:c r="F110" s="24" t="n">
        <x:v>-1.2113333333333334</x:v>
      </x:c>
      <x:c r="G110" s="24" t="n">
        <x:v>-1.9480833333333323</x:v>
      </x:c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</x:row>
    <x:row r="111">
      <x:c r="A111" s="65" t="str">
        <x:v>1984–1988</x:v>
      </x:c>
      <x:c r="B111" s="65" t="n">
        <x:v>1984</x:v>
      </x:c>
      <x:c r="C111" s="65" t="n">
        <x:v>1988</x:v>
      </x:c>
      <x:c r="D111" s="24" t="n">
        <x:v>-1.1521226851851845</x:v>
      </x:c>
      <x:c r="E111" s="24" t="n">
        <x:v>-0.9704444444444448</x:v>
      </x:c>
      <x:c r="F111" s="24" t="n">
        <x:v>-0.4113333333333336</x:v>
      </x:c>
      <x:c r="G111" s="24" t="n">
        <x:v>-1.0821111111111104</x:v>
      </x:c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</x:row>
    <x:row r="112">
      <x:c r="A112" s="65" t="str">
        <x:v>1985–1989</x:v>
      </x:c>
      <x:c r="B112" s="65" t="n">
        <x:v>1985</x:v>
      </x:c>
      <x:c r="C112" s="65" t="n">
        <x:v>1989</x:v>
      </x:c>
      <x:c r="D112" s="24" t="n">
        <x:v>-0.2089189814814798</x:v>
      </x:c>
      <x:c r="E112" s="24" t="n">
        <x:v>0.37266666666666665</x:v>
      </x:c>
      <x:c r="F112" s="24" t="n">
        <x:v>0.34711111111111076</x:v>
      </x:c>
      <x:c r="G112" s="24" t="n">
        <x:v>-0.13213194444444376</x:v>
      </x:c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</x:row>
    <x:row r="113">
      <x:c r="A113" s="65" t="str">
        <x:v>1986–1990</x:v>
      </x:c>
      <x:c r="B113" s="65" t="n">
        <x:v>1986</x:v>
      </x:c>
      <x:c r="C113" s="65" t="n">
        <x:v>1990</x:v>
      </x:c>
      <x:c r="D113" s="24" t="n">
        <x:v>-0.12960185185185005</x:v>
      </x:c>
      <x:c r="E113" s="24" t="n">
        <x:v>0.7840000000000004</x:v>
      </x:c>
      <x:c r="F113" s="24" t="n">
        <x:v>0.5113333333333332</x:v>
      </x:c>
      <x:c r="G113" s="24" t="n">
        <x:v>-0.08126620370370334</x:v>
      </x:c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</x:row>
    <x:row r="114">
      <x:c r="A114" s="65" t="str">
        <x:v>1987–1991</x:v>
      </x:c>
      <x:c r="B114" s="65" t="n">
        <x:v>1987</x:v>
      </x:c>
      <x:c r="C114" s="65" t="n">
        <x:v>1991</x:v>
      </x:c>
      <x:c r="D114" s="24" t="n">
        <x:v>0.8347500000000018</x:v>
      </x:c>
      <x:c r="E114" s="24" t="n">
        <x:v>2.432888888888889</x:v>
      </x:c>
      <x:c r="F114" s="24" t="n">
        <x:v>0.7002222222222224</x:v>
      </x:c>
      <x:c r="G114" s="24" t="n">
        <x:v>0.9483634259259268</x:v>
      </x:c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</x:row>
    <x:row r="115">
      <x:c r="A115" s="65" t="str">
        <x:v>1988–1992</x:v>
      </x:c>
      <x:c r="B115" s="65" t="n">
        <x:v>1988</x:v>
      </x:c>
      <x:c r="C115" s="65" t="n">
        <x:v>1992</x:v>
      </x:c>
      <x:c r="D115" s="24" t="n">
        <x:v>1.5467708333333339</x:v>
      </x:c>
      <x:c r="E115" s="24" t="n">
        <x:v>3.180888888888888</x:v>
      </x:c>
      <x:c r="F115" s="24" t="n">
        <x:v>0.6342222222222228</x:v>
      </x:c>
      <x:c r="G115" s="24" t="n">
        <x:v>1.4264050925925933</x:v>
      </x:c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</x:row>
    <x:row r="116">
      <x:c r="A116" s="65" t="str">
        <x:v>1989–1993</x:v>
      </x:c>
      <x:c r="B116" s="65" t="n">
        <x:v>1989</x:v>
      </x:c>
      <x:c r="C116" s="65" t="n">
        <x:v>1993</x:v>
      </x:c>
      <x:c r="D116" s="24" t="n">
        <x:v>0.29873553240740786</x:v>
      </x:c>
      <x:c r="E116" s="24" t="n">
        <x:v>0.9414444444444442</x:v>
      </x:c>
      <x:c r="F116" s="24" t="n">
        <x:v>-0.372722222222222</x:v>
      </x:c>
      <x:c r="G116" s="24" t="n">
        <x:v>-0.543918981481481</x:v>
      </x:c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</x:row>
    <x:row r="117">
      <x:c r="A117" s="65" t="str">
        <x:v>1990–1994</x:v>
      </x:c>
      <x:c r="B117" s="65" t="n">
        <x:v>1990</x:v>
      </x:c>
      <x:c r="C117" s="65" t="n">
        <x:v>1994</x:v>
      </x:c>
      <x:c r="D117" s="24" t="n">
        <x:v>-0.02117187499999975</x:v>
      </x:c>
      <x:c r="E117" s="24" t="n">
        <x:v>0.3769999999999998</x:v>
      </x:c>
      <x:c r="F117" s="24" t="n">
        <x:v>-0.479388888888889</x:v>
      </x:c>
      <x:c r="G117" s="24" t="n">
        <x:v>-0.9592662037037029</x:v>
      </x:c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</x:row>
    <x:row r="118">
      <x:c r="A118" s="65" t="str">
        <x:v>1991–1995</x:v>
      </x:c>
      <x:c r="B118" s="65" t="n">
        <x:v>1991</x:v>
      </x:c>
      <x:c r="C118" s="65" t="n">
        <x:v>1995</x:v>
      </x:c>
      <x:c r="D118" s="24" t="n">
        <x:v>-0.5537065972222222</x:v>
      </x:c>
      <x:c r="E118" s="24" t="n">
        <x:v>0.20566666666666666</x:v>
      </x:c>
      <x:c r="F118" s="24" t="n">
        <x:v>-1.1391666666666664</x:v>
      </x:c>
      <x:c r="G118" s="24" t="n">
        <x:v>-1.278141203703703</x:v>
      </x:c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</x:row>
    <x:row r="119">
      <x:c r="A119" s="65" t="str">
        <x:v>1992–1996</x:v>
      </x:c>
      <x:c r="B119" s="65" t="n">
        <x:v>1992</x:v>
      </x:c>
      <x:c r="C119" s="65" t="n">
        <x:v>1996</x:v>
      </x:c>
      <x:c r="D119" s="24" t="n">
        <x:v>-0.9835677083333341</x:v>
      </x:c>
      <x:c r="E119" s="24" t="n">
        <x:v>-0.48322222222222255</x:v>
      </x:c>
      <x:c r="F119" s="24" t="n">
        <x:v>-1.539166666666667</x:v>
      </x:c>
      <x:c r="G119" s="24" t="n">
        <x:v>-1.796196759259259</x:v>
      </x:c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</x:row>
    <x:row r="120">
      <x:c r="A120" s="65" t="str">
        <x:v>1993–1997</x:v>
      </x:c>
      <x:c r="B120" s="65" t="n">
        <x:v>1993</x:v>
      </x:c>
      <x:c r="C120" s="65" t="n">
        <x:v>1997</x:v>
      </x:c>
      <x:c r="D120" s="24" t="n">
        <x:v>-1.322618634259259</x:v>
      </x:c>
      <x:c r="E120" s="24" t="n">
        <x:v>-0.6750000000000004</x:v>
      </x:c>
      <x:c r="F120" s="24" t="n">
        <x:v>-1.6402777777777782</x:v>
      </x:c>
      <x:c r="G120" s="24" t="n">
        <x:v>-1.9706712962962958</x:v>
      </x:c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</x:row>
    <x:row r="121">
      <x:c r="A121" s="65" t="str">
        <x:v>1994–1998</x:v>
      </x:c>
      <x:c r="B121" s="65" t="n">
        <x:v>1994</x:v>
      </x:c>
      <x:c r="C121" s="65" t="n">
        <x:v>1998</x:v>
      </x:c>
      <x:c r="D121" s="24" t="n">
        <x:v>-0.7894259259259251</x:v>
      </x:c>
      <x:c r="E121" s="24" t="n">
        <x:v>0.1140000000000004</x:v>
      </x:c>
      <x:c r="F121" s="24" t="n">
        <x:v>-1.1197777777777782</x:v>
      </x:c>
      <x:c r="G121" s="24" t="n">
        <x:v>-0.896275462962962</x:v>
      </x:c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</x:row>
    <x:row r="122">
      <x:c r="A122" s="65" t="str">
        <x:v>1995–1999</x:v>
      </x:c>
      <x:c r="B122" s="65" t="n">
        <x:v>1995</x:v>
      </x:c>
      <x:c r="C122" s="65" t="n">
        <x:v>1999</x:v>
      </x:c>
      <x:c r="D122" s="24" t="n">
        <x:v>-1.354081597222222</x:v>
      </x:c>
      <x:c r="E122" s="24" t="n">
        <x:v>-0.9276666666666668</x:v>
      </x:c>
      <x:c r="F122" s="24" t="n">
        <x:v>-1.925055555555555</x:v>
      </x:c>
      <x:c r="G122" s="24" t="n">
        <x:v>-1.3302251157407392</x:v>
      </x:c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</x:row>
    <x:row r="123">
      <x:c r="A123" s="65" t="str">
        <x:v>1996–2000</x:v>
      </x:c>
      <x:c r="B123" s="65" t="n">
        <x:v>1996</x:v>
      </x:c>
      <x:c r="C123" s="65" t="n">
        <x:v>2000</x:v>
      </x:c>
      <x:c r="D123" s="24" t="n">
        <x:v>-0.6723686342592586</x:v>
      </x:c>
      <x:c r="E123" s="24" t="n">
        <x:v>-0.5276666666666676</x:v>
      </x:c>
      <x:c r="F123" s="24" t="n">
        <x:v>-0.8583888888888886</x:v>
      </x:c>
      <x:c r="G123" s="24" t="n">
        <x:v>-1.255688078703702</x:v>
      </x:c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</x:row>
    <x:row r="124">
      <x:c r="A124" s="65" t="str">
        <x:v>1997–2001</x:v>
      </x:c>
      <x:c r="B124" s="65" t="n">
        <x:v>1997</x:v>
      </x:c>
      <x:c r="C124" s="65" t="n">
        <x:v>2001</x:v>
      </x:c>
      <x:c r="D124" s="24" t="n">
        <x:v>-0.6615237268518511</x:v>
      </x:c>
      <x:c r="E124" s="24" t="n">
        <x:v>-1.2001111111111122</x:v>
      </x:c>
      <x:c r="F124" s="24" t="n">
        <x:v>-0.4497222222222219</x:v>
      </x:c>
      <x:c r="G124" s="24" t="n">
        <x:v>-1.162338541666665</x:v>
      </x:c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</x:row>
    <x:row r="125">
      <x:c r="A125" s="65" t="str">
        <x:v>1998–2002</x:v>
      </x:c>
      <x:c r="B125" s="65" t="n">
        <x:v>1998</x:v>
      </x:c>
      <x:c r="C125" s="65" t="n">
        <x:v>2002</x:v>
      </x:c>
      <x:c r="D125" s="24" t="n">
        <x:v>-0.7893015046296288</x:v>
      </x:c>
      <x:c r="E125" s="24" t="n">
        <x:v>-1.6623333333333339</x:v>
      </x:c>
      <x:c r="F125" s="24" t="n">
        <x:v>-0.14972222222222192</x:v>
      </x:c>
      <x:c r="G125" s="24" t="n">
        <x:v>-0.9320144675925907</x:v>
      </x:c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</x:row>
    <x:row r="126">
      <x:c r="A126" s="65" t="str">
        <x:v>1999–2003</x:v>
      </x:c>
      <x:c r="B126" s="65" t="n">
        <x:v>1999</x:v>
      </x:c>
      <x:c r="C126" s="65" t="n">
        <x:v>2003</x:v>
      </x:c>
      <x:c r="D126" s="24" t="n">
        <x:v>0.36880497685185276</x:v>
      </x:c>
      <x:c r="E126" s="24" t="n">
        <x:v>-0.6474444444444452</x:v>
      </x:c>
      <x:c r="F126" s="24" t="n">
        <x:v>0.1278333333333338</x:v>
      </x:c>
      <x:c r="G126" s="24" t="n">
        <x:v>-0.19601678240740633</x:v>
      </x:c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</x:row>
    <x:row r="127">
      <x:c r="A127" s="65" t="str">
        <x:v>2000–2004</x:v>
      </x:c>
      <x:c r="B127" s="65" t="n">
        <x:v>2000</x:v>
      </x:c>
      <x:c r="C127" s="65" t="n">
        <x:v>2004</x:v>
      </x:c>
      <x:c r="D127" s="24" t="n">
        <x:v>0.26263310185185257</x:v>
      </x:c>
      <x:c r="E127" s="24" t="n">
        <x:v>-0.7824444444444455</x:v>
      </x:c>
      <x:c r="F127" s="24" t="n">
        <x:v>0.4878333333333333</x:v>
      </x:c>
      <x:c r="G127" s="24" t="n">
        <x:v>-0.2810949074074065</x:v>
      </x:c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</x:row>
    <x:row r="128">
      <x:c r="A128" s="65" t="str">
        <x:v>2001–2005</x:v>
      </x:c>
      <x:c r="B128" s="65" t="n">
        <x:v>2001</x:v>
      </x:c>
      <x:c r="C128" s="65" t="n">
        <x:v>2005</x:v>
      </x:c>
      <x:c r="D128" s="24" t="n">
        <x:v>0.046892361111110906</x:v>
      </x:c>
      <x:c r="E128" s="24" t="n">
        <x:v>-1.2135555555555557</x:v>
      </x:c>
      <x:c r="F128" s="24" t="n">
        <x:v>0.13672222222222188</x:v>
      </x:c>
      <x:c r="G128" s="24" t="n">
        <x:v>0.11235416666666724</x:v>
      </x:c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</x:row>
    <x:row r="129">
      <x:c r="A129" s="65" t="str">
        <x:v>2002–2006</x:v>
      </x:c>
      <x:c r="B129" s="65" t="n">
        <x:v>2002</x:v>
      </x:c>
      <x:c r="C129" s="65" t="n">
        <x:v>2006</x:v>
      </x:c>
      <x:c r="D129" s="24" t="n">
        <x:v>-0.5511979166666666</x:v>
      </x:c>
      <x:c r="E129" s="24" t="n">
        <x:v>-0.9677777777777772</x:v>
      </x:c>
      <x:c r="F129" s="24" t="n">
        <x:v>-0.4563888888888895</x:v>
      </x:c>
      <x:c r="G129" s="24" t="n">
        <x:v>-0.6432175925925916</x:v>
      </x:c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</x:row>
    <x:row r="130">
      <x:c r="A130" s="65" t="str">
        <x:v>2003–2007</x:v>
      </x:c>
      <x:c r="B130" s="65" t="n">
        <x:v>2003</x:v>
      </x:c>
      <x:c r="C130" s="65" t="n">
        <x:v>2007</x:v>
      </x:c>
      <x:c r="D130" s="24" t="n">
        <x:v>-0.4341192129629639</x:v>
      </x:c>
      <x:c r="E130" s="24" t="n">
        <x:v>-0.9357777777777774</x:v>
      </x:c>
      <x:c r="F130" s="24" t="n">
        <x:v>-0.4032777777777782</x:v>
      </x:c>
      <x:c r="G130" s="24" t="n">
        <x:v>-0.5384421296296293</x:v>
      </x:c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</x:row>
    <x:row r="131">
      <x:c r="A131" s="65" t="str">
        <x:v>2004–2008</x:v>
      </x:c>
      <x:c r="B131" s="65" t="n">
        <x:v>2004</x:v>
      </x:c>
      <x:c r="C131" s="65" t="n">
        <x:v>2008</x:v>
      </x:c>
      <x:c r="D131" s="24" t="n">
        <x:v>-1.100322916666668</x:v>
      </x:c>
      <x:c r="E131" s="24" t="n">
        <x:v>-1.2246666666666663</x:v>
      </x:c>
      <x:c r="F131" s="24" t="n">
        <x:v>-0.29216666666666713</x:v>
      </x:c>
      <x:c r="G131" s="24" t="n">
        <x:v>-0.709275462962962</x:v>
      </x:c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</x:row>
    <x:row r="132">
      <x:c r="A132" s="65" t="str">
        <x:v>2005–2009</x:v>
      </x:c>
      <x:c r="B132" s="65" t="n">
        <x:v>2005</x:v>
      </x:c>
      <x:c r="C132" s="65" t="n">
        <x:v>2009</x:v>
      </x:c>
      <x:c r="D132" s="24" t="n">
        <x:v>-1.2894791666666678</x:v>
      </x:c>
      <x:c r="E132" s="24" t="n">
        <x:v>-1.7666666666666664</x:v>
      </x:c>
      <x:c r="F132" s="24" t="n">
        <x:v>-0.2886666666666666</x:v>
      </x:c>
      <x:c r="G132" s="24" t="n">
        <x:v>-0.620587962962962</x:v>
      </x:c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</x:row>
    <x:row r="133">
      <x:c r="A133" s="65" t="str">
        <x:v>2006–2010</x:v>
      </x:c>
      <x:c r="B133" s="65" t="n">
        <x:v>2006</x:v>
      </x:c>
      <x:c r="C133" s="65" t="n">
        <x:v>2010</x:v>
      </x:c>
      <x:c r="D133" s="24" t="n">
        <x:v>-0.5165104166666674</x:v>
      </x:c>
      <x:c r="E133" s="24" t="n">
        <x:v>0.3027777777777782</x:v>
      </x:c>
      <x:c r="F133" s="24" t="n">
        <x:v>-0.28644444444444467</x:v>
      </x:c>
      <x:c r="G133" s="24" t="n">
        <x:v>-0.020188657407406208</x:v>
      </x:c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</x:row>
    <x:row r="134">
      <x:c r="A134" s="65" t="str">
        <x:v>2007–2011</x:v>
      </x:c>
      <x:c r="B134" s="65" t="n">
        <x:v>2007</x:v>
      </x:c>
      <x:c r="C134" s="65" t="n">
        <x:v>2011</x:v>
      </x:c>
      <x:c r="D134" s="24" t="n">
        <x:v>0.49251736111111033</x:v>
      </x:c>
      <x:c r="E134" s="24" t="n">
        <x:v>1.1161111111111104</x:v>
      </x:c>
      <x:c r="F134" s="24" t="n">
        <x:v>0.7179999999999997</x:v>
      </x:c>
      <x:c r="G134" s="24" t="n">
        <x:v>1.1211770833333337</x:v>
      </x:c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</x:row>
    <x:row r="135">
      <x:c r="A135" s="65" t="str">
        <x:v>2008–2012</x:v>
      </x:c>
      <x:c r="B135" s="65" t="n">
        <x:v>2008</x:v>
      </x:c>
      <x:c r="C135" s="65" t="n">
        <x:v>2012</x:v>
      </x:c>
      <x:c r="D135" s="24" t="n">
        <x:v>0.6181006944444435</x:v>
      </x:c>
      <x:c r="E135" s="24" t="n">
        <x:v>1.2921111111111105</x:v>
      </x:c>
      <x:c r="F135" s="24" t="n">
        <x:v>0.7179999999999997</x:v>
      </x:c>
      <x:c r="G135" s="24" t="n">
        <x:v>1.1880937500000006</x:v>
      </x:c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</x:row>
    <x:row r="136">
      <x:c r="A136" s="65" t="str">
        <x:v>2009–2013</x:v>
      </x:c>
      <x:c r="B136" s="65" t="n">
        <x:v>2009</x:v>
      </x:c>
      <x:c r="C136" s="65" t="n">
        <x:v>2013</x:v>
      </x:c>
      <x:c r="D136" s="24" t="n">
        <x:v>0.4514340277777767</x:v>
      </x:c>
      <x:c r="E136" s="24" t="n">
        <x:v>1.2743333333333324</x:v>
      </x:c>
      <x:c r="F136" s="24" t="n">
        <x:v>0.35133333333333316</x:v>
      </x:c>
      <x:c r="G136" s="24" t="n">
        <x:v>0.8482789351851849</x:v>
      </x:c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</x:row>
    <x:row r="137">
      <x:c r="A137" s="65" t="str">
        <x:v>2010–2014</x:v>
      </x:c>
      <x:c r="B137" s="65" t="n">
        <x:v>2010</x:v>
      </x:c>
      <x:c r="C137" s="65" t="n">
        <x:v>2014</x:v>
      </x:c>
      <x:c r="D137" s="24" t="n">
        <x:v>0.5521354166666647</x:v>
      </x:c>
      <x:c r="E137" s="24" t="n">
        <x:v>1.4018888888888887</x:v>
      </x:c>
      <x:c r="F137" s="24" t="n">
        <x:v>0.4064444444444435</x:v>
      </x:c>
      <x:c r="G137" s="24" t="n">
        <x:v>0.7050312499999992</x:v>
      </x:c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</x:row>
    <x:row r="138">
      <x:c r="A138" s="65" t="str">
        <x:v>2011–2015</x:v>
      </x:c>
      <x:c r="B138" s="65" t="n">
        <x:v>2011</x:v>
      </x:c>
      <x:c r="C138" s="65" t="n">
        <x:v>2015</x:v>
      </x:c>
      <x:c r="D138" s="24" t="n">
        <x:v>0.6444166666666651</x:v>
      </x:c>
      <x:c r="E138" s="24" t="n">
        <x:v>0.5088888888888883</x:v>
      </x:c>
      <x:c r="F138" s="24" t="n">
        <x:v>0.8664444444444437</x:v>
      </x:c>
      <x:c r="G138" s="24" t="n">
        <x:v>0.8337083333333322</x:v>
      </x:c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</x:row>
    <x:row r="139">
      <x:c r="A139" s="65" t="str">
        <x:v>2012–2016</x:v>
      </x:c>
      <x:c r="B139" s="65" t="n">
        <x:v>2012</x:v>
      </x:c>
      <x:c r="C139" s="65" t="n">
        <x:v>2016</x:v>
      </x:c>
      <x:c r="D139" s="24" t="n">
        <x:v>0.10112962962962876</x:v>
      </x:c>
      <x:c r="E139" s="24" t="n">
        <x:v>-0.6911111111111106</x:v>
      </x:c>
      <x:c r="F139" s="24" t="n">
        <x:v>0.33311111111111097</x:v>
      </x:c>
      <x:c r="G139" s="24" t="n">
        <x:v>0.5056990740740727</x:v>
      </x:c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</x:row>
    <x:row r="140">
      <x:c r="A140" s="65" t="str">
        <x:v>2013–2017</x:v>
      </x:c>
      <x:c r="B140" s="65" t="n">
        <x:v>2013</x:v>
      </x:c>
      <x:c r="C140" s="65" t="n">
        <x:v>2017</x:v>
      </x:c>
      <x:c r="D140" s="24" t="n">
        <x:v>0.6402037037037032</x:v>
      </x:c>
      <x:c r="E140" s="24" t="n">
        <x:v>-0.3035555555555548</x:v>
      </x:c>
      <x:c r="F140" s="24" t="n">
        <x:v>0.984444444444444</x:v>
      </x:c>
      <x:c r="G140" s="24" t="n">
        <x:v>0.9322013888888876</x:v>
      </x:c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</x:row>
    <x:row r="141">
      <x:c r="A141" s="65" t="str">
        <x:v>2014–2018</x:v>
      </x:c>
      <x:c r="B141" s="65" t="n">
        <x:v>2014</x:v>
      </x:c>
      <x:c r="C141" s="65" t="n">
        <x:v>2018</x:v>
      </x:c>
      <x:c r="D141" s="24" t="n">
        <x:v>0.9059467592592595</x:v>
      </x:c>
      <x:c r="E141" s="24" t="n">
        <x:v>0.08222222222222293</x:v>
      </x:c>
      <x:c r="F141" s="24" t="n">
        <x:v>1.1264444444444437</x:v>
      </x:c>
      <x:c r="G141" s="24" t="n">
        <x:v>1.187851851851852</x:v>
      </x:c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</x:row>
    <x:row r="142">
      <x:c r="A142" s="65" t="str">
        <x:v>2015–2019</x:v>
      </x:c>
      <x:c r="B142" s="65" t="n">
        <x:v>2015</x:v>
      </x:c>
      <x:c r="C142" s="65" t="n">
        <x:v>2019</x:v>
      </x:c>
      <x:c r="D142" s="24" t="n">
        <x:v>1.1756226851851863</x:v>
      </x:c>
      <x:c r="E142" s="24" t="n">
        <x:v>0.7311111111111115</x:v>
      </x:c>
      <x:c r="F142" s="24" t="n">
        <x:v>0.9153333333333326</x:v>
      </x:c>
      <x:c r="G142" s="24" t="n">
        <x:v>1.2610000000000003</x:v>
      </x:c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</x:row>
    <x:row r="143">
      <x:c r="A143" s="65" t="str">
        <x:v>2016–2020</x:v>
      </x:c>
      <x:c r="B143" s="65" t="n">
        <x:v>2016</x:v>
      </x:c>
      <x:c r="C143" s="65" t="n">
        <x:v>2020</x:v>
      </x:c>
      <x:c r="D143" s="24" t="n">
        <x:v>0.8266018518518525</x:v>
      </x:c>
      <x:c r="E143" s="24" t="n">
        <x:v>1.3911111111111116</x:v>
      </x:c>
      <x:c r="F143" s="24" t="n">
        <x:v>0.057333333333332834</x:v>
      </x:c>
      <x:c r="G143" s="24" t="n">
        <x:v>0.7639375000000006</x:v>
      </x:c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</x:row>
    <x:row r="144">
      <x:c r="A144" s="174" t="str">
        <x:v>2021–2025</x:v>
      </x:c>
      <x:c r="B144" s="175" t="n">
        <x:v>2021</x:v>
      </x:c>
      <x:c r="C144" s="175" t="n">
        <x:v>2025</x:v>
      </x:c>
      <x:c r="D144" s="176" t="n">
        <x:v>0.7923425925925907</x:v>
      </x:c>
      <x:c r="E144" s="176" t="n">
        <x:v>1.9715555555555546</x:v>
      </x:c>
      <x:c r="F144" s="176" t="n">
        <x:v>-0.009111111111110959</x:v>
      </x:c>
      <x:c r="G144" s="177" t="n">
        <x:v>0.4863217592592598</x:v>
      </x:c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</x:row>
  </x:sheetData>
  <x:pageMargins left="0.7" right="0.7" top="0.75" bottom="0.75" header="0.3" footer="0.3"/>
  <x:drawing xmlns:r="http://schemas.openxmlformats.org/officeDocument/2006/relationships" r:id="Radc204d46db84bc4"/>
</x:worksheet>
</file>

<file path=xl/worksheets/sheet5.xml><?xml version="1.0" encoding="utf-8"?>
<x:worksheet xmlns:x="http://schemas.openxmlformats.org/spreadsheetml/2006/main">
  <x:sheetPr>
    <x:tabColor rgb="FF9EADBA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2">
      <x:c r="A2" s="187" t="str">
        <x:v>Datos anuales utilizados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14" t="str">
        <x:v>Fuente: Comparacion_climatologica_Castalla_A_vs_B.xlsx. ERA5-Land/Copernicus-ECMWF mediante Open-Meteo Historical Weather API; Castalla, 38.5964° N, 0.6722° O; elevación 675 m.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8" t="str">
        <x:v>Año</x:v>
      </x:c>
      <x:c r="B5" s="8" t="str">
        <x:v>Inicio A</x:v>
      </x:c>
      <x:c r="C5" s="8" t="str">
        <x:v>Inicio B</x:v>
      </x:c>
      <x:c r="D5" s="8" t="str">
        <x:v>Días solapados</x:v>
      </x:c>
      <x:c r="E5" s="8" t="str">
        <x:v>Separación (días)</x:v>
      </x:c>
      <x:c r="F5" s="8" t="str">
        <x:v>T media A (°C)</x:v>
      </x:c>
      <x:c r="G5" s="8" t="str">
        <x:v>T media B (°C)</x:v>
      </x:c>
      <x:c r="H5" s="8" t="str">
        <x:v>B−A T media (°C)</x:v>
      </x:c>
      <x:c r="I5" s="8" t="str">
        <x:v>Tmax A (°C)</x:v>
      </x:c>
      <x:c r="J5" s="8" t="str">
        <x:v>Tmax B (°C)</x:v>
      </x:c>
      <x:c r="K5" s="8" t="str">
        <x:v>B−A Tmax (°C)</x:v>
      </x:c>
      <x:c r="L5" s="8" t="str">
        <x:v>Tmin A (°C)</x:v>
      </x:c>
      <x:c r="M5" s="8" t="str">
        <x:v>Tmin B (°C)</x:v>
      </x:c>
      <x:c r="N5" s="8" t="str">
        <x:v>B−A Tmin (°C)</x:v>
      </x:c>
      <x:c r="O5" s="8" t="str">
        <x:v>T aparente A (°C)</x:v>
      </x:c>
      <x:c r="P5" s="8" t="str">
        <x:v>T aparente B (°C)</x:v>
      </x:c>
      <x:c r="Q5" s="8" t="str">
        <x:v>B−A T aparente (°C)</x:v>
      </x:c>
    </x:row>
    <x:row r="6">
      <x:c r="A6" s="19" t="n">
        <x:v>1950</x:v>
      </x:c>
      <x:c r="B6" s="20" t="n">
        <x:v>18507</x:v>
      </x:c>
      <x:c r="C6" s="20" t="n">
        <x:v>18500</x:v>
      </x:c>
      <x:c r="D6" s="19" t="n">
        <x:v>0</x:v>
      </x:c>
      <x:c r="E6" s="19" t="n">
        <x:v>7</x:v>
      </x:c>
      <x:c r="F6" s="21" t="n">
        <x:v>20.989583333333336</x:v>
      </x:c>
      <x:c r="G6" s="21" t="n">
        <x:v>24.667708333333334</x:v>
      </x:c>
      <x:c r="H6" s="28" t="n">
        <x:f>G6-F6</x:f>
        <x:v>3.678124999999998</x:v>
      </x:c>
      <x:c r="I6" s="21" t="n">
        <x:v>30</x:v>
      </x:c>
      <x:c r="J6" s="21" t="n">
        <x:v>32.2</x:v>
      </x:c>
      <x:c r="K6" s="28" t="n">
        <x:f>J6-I6</x:f>
        <x:v>2.200000000000003</x:v>
      </x:c>
      <x:c r="L6" s="21" t="n">
        <x:v>13.9</x:v>
      </x:c>
      <x:c r="M6" s="21" t="n">
        <x:v>16.3</x:v>
      </x:c>
      <x:c r="N6" s="28" t="n">
        <x:f>M6-L6</x:f>
        <x:v>2.4000000000000004</x:v>
      </x:c>
      <x:c r="O6" s="21" t="n">
        <x:v>20.46666666666667</x:v>
      </x:c>
      <x:c r="P6" s="21" t="n">
        <x:v>23.79375</x:v>
      </x:c>
      <x:c r="Q6" s="28" t="n">
        <x:f>P6-O6</x:f>
        <x:v>3.3270833333333307</x:v>
      </x:c>
    </x:row>
    <x:row r="7">
      <x:c r="A7" s="22" t="n">
        <x:v>1951</x:v>
      </x:c>
      <x:c r="B7" s="23" t="n">
        <x:v>18872</x:v>
      </x:c>
      <x:c r="C7" s="23" t="n">
        <x:v>18871</x:v>
      </x:c>
      <x:c r="D7" s="22" t="n">
        <x:v>3</x:v>
      </x:c>
      <x:c r="E7" s="22" t="n">
        <x:v>1</x:v>
      </x:c>
      <x:c r="F7" s="24" t="n">
        <x:v>23.221874999999997</x:v>
      </x:c>
      <x:c r="G7" s="24" t="n">
        <x:v>23.365625</x:v>
      </x:c>
      <x:c r="H7" s="29" t="n">
        <x:f>G7-F7</x:f>
        <x:v>0.14375000000000426</x:v>
      </x:c>
      <x:c r="I7" s="24" t="n">
        <x:v>31.3</x:v>
      </x:c>
      <x:c r="J7" s="24" t="n">
        <x:v>31.3</x:v>
      </x:c>
      <x:c r="K7" s="29" t="n">
        <x:f>J7-I7</x:f>
        <x:v>0</x:v>
      </x:c>
      <x:c r="L7" s="24" t="n">
        <x:v>15.9</x:v>
      </x:c>
      <x:c r="M7" s="24" t="n">
        <x:v>15.9</x:v>
      </x:c>
      <x:c r="N7" s="29" t="n">
        <x:f>M7-L7</x:f>
        <x:v>0</x:v>
      </x:c>
      <x:c r="O7" s="24" t="n">
        <x:v>23.280208333333334</x:v>
      </x:c>
      <x:c r="P7" s="24" t="n">
        <x:v>22.702083333333334</x:v>
      </x:c>
      <x:c r="Q7" s="29" t="n">
        <x:f>P7-O7</x:f>
        <x:v>-0.578125</x:v>
      </x:c>
    </x:row>
    <x:row r="8">
      <x:c r="A8" s="22" t="n">
        <x:v>1952</x:v>
      </x:c>
      <x:c r="B8" s="23" t="n">
        <x:v>19238</x:v>
      </x:c>
      <x:c r="C8" s="23" t="n">
        <x:v>19235</x:v>
      </x:c>
      <x:c r="D8" s="22" t="n">
        <x:v>1</x:v>
      </x:c>
      <x:c r="E8" s="22" t="n">
        <x:v>3</x:v>
      </x:c>
      <x:c r="F8" s="24" t="n">
        <x:v>20.983333333333334</x:v>
      </x:c>
      <x:c r="G8" s="24" t="n">
        <x:v>21.685416666666665</x:v>
      </x:c>
      <x:c r="H8" s="29" t="n">
        <x:f>G8-F8</x:f>
        <x:v>0.7020833333333307</x:v>
      </x:c>
      <x:c r="I8" s="24" t="n">
        <x:v>27.1</x:v>
      </x:c>
      <x:c r="J8" s="24" t="n">
        <x:v>28.6</x:v>
      </x:c>
      <x:c r="K8" s="29" t="n">
        <x:f>J8-I8</x:f>
        <x:v>1.5</x:v>
      </x:c>
      <x:c r="L8" s="24" t="n">
        <x:v>15.7</x:v>
      </x:c>
      <x:c r="M8" s="24" t="n">
        <x:v>15.1</x:v>
      </x:c>
      <x:c r="N8" s="29" t="n">
        <x:f>M8-L8</x:f>
        <x:v>-0.5999999999999996</x:v>
      </x:c>
      <x:c r="O8" s="24" t="n">
        <x:v>21.805208333333333</x:v>
      </x:c>
      <x:c r="P8" s="24" t="n">
        <x:v>21.709375</x:v>
      </x:c>
      <x:c r="Q8" s="29" t="n">
        <x:f>P8-O8</x:f>
        <x:v>-0.09583333333333144</x:v>
      </x:c>
    </x:row>
    <x:row r="9">
      <x:c r="A9" s="22" t="n">
        <x:v>1953</x:v>
      </x:c>
      <x:c r="B9" s="23" t="n">
        <x:v>19603</x:v>
      </x:c>
      <x:c r="C9" s="23" t="n">
        <x:v>19599</x:v>
      </x:c>
      <x:c r="D9" s="22" t="n">
        <x:v>0</x:v>
      </x:c>
      <x:c r="E9" s="22" t="n">
        <x:v>4</x:v>
      </x:c>
      <x:c r="F9" s="24" t="n">
        <x:v>21.957291666666666</x:v>
      </x:c>
      <x:c r="G9" s="24" t="n">
        <x:v>22.972916666666666</x:v>
      </x:c>
      <x:c r="H9" s="29" t="n">
        <x:f>G9-F9</x:f>
        <x:v>1.015625</x:v>
      </x:c>
      <x:c r="I9" s="24" t="n">
        <x:v>29.1</x:v>
      </x:c>
      <x:c r="J9" s="24" t="n">
        <x:v>29.9</x:v>
      </x:c>
      <x:c r="K9" s="29" t="n">
        <x:f>J9-I9</x:f>
        <x:v>0.7999999999999972</x:v>
      </x:c>
      <x:c r="L9" s="24" t="n">
        <x:v>15.2</x:v>
      </x:c>
      <x:c r="M9" s="24" t="n">
        <x:v>15.5</x:v>
      </x:c>
      <x:c r="N9" s="29" t="n">
        <x:f>M9-L9</x:f>
        <x:v>0.3000000000000007</x:v>
      </x:c>
      <x:c r="O9" s="24" t="n">
        <x:v>22.427083333333336</x:v>
      </x:c>
      <x:c r="P9" s="24" t="n">
        <x:v>23.627083333333335</x:v>
      </x:c>
      <x:c r="Q9" s="29" t="n">
        <x:f>P9-O9</x:f>
        <x:v>1.1999999999999993</x:v>
      </x:c>
    </x:row>
    <x:row r="10">
      <x:c r="A10" s="22" t="n">
        <x:v>1954</x:v>
      </x:c>
      <x:c r="B10" s="23" t="n">
        <x:v>19968</x:v>
      </x:c>
      <x:c r="C10" s="23" t="n">
        <x:v>19963</x:v>
      </x:c>
      <x:c r="D10" s="22" t="n">
        <x:v>0</x:v>
      </x:c>
      <x:c r="E10" s="22" t="n">
        <x:v>5</x:v>
      </x:c>
      <x:c r="F10" s="24" t="n">
        <x:v>21.690624999999997</x:v>
      </x:c>
      <x:c r="G10" s="24" t="n">
        <x:v>21.290625000000002</x:v>
      </x:c>
      <x:c r="H10" s="29" t="n">
        <x:f>G10-F10</x:f>
        <x:v>-0.399999999999995</x:v>
      </x:c>
      <x:c r="I10" s="24" t="n">
        <x:v>29.3</x:v>
      </x:c>
      <x:c r="J10" s="24" t="n">
        <x:v>28.6</x:v>
      </x:c>
      <x:c r="K10" s="29" t="n">
        <x:f>J10-I10</x:f>
        <x:v>-0.6999999999999993</x:v>
      </x:c>
      <x:c r="L10" s="24" t="n">
        <x:v>14.7</x:v>
      </x:c>
      <x:c r="M10" s="24" t="n">
        <x:v>16</x:v>
      </x:c>
      <x:c r="N10" s="29" t="n">
        <x:f>M10-L10</x:f>
        <x:v>1.3000000000000007</x:v>
      </x:c>
      <x:c r="O10" s="24" t="n">
        <x:v>21.851041666666667</x:v>
      </x:c>
      <x:c r="P10" s="24" t="n">
        <x:v>21.526041666666668</x:v>
      </x:c>
      <x:c r="Q10" s="29" t="n">
        <x:f>P10-O10</x:f>
        <x:v>-0.3249999999999993</x:v>
      </x:c>
    </x:row>
    <x:row r="11">
      <x:c r="A11" s="22" t="n">
        <x:v>1955</x:v>
      </x:c>
      <x:c r="B11" s="23" t="n">
        <x:v>20333</x:v>
      </x:c>
      <x:c r="C11" s="23" t="n">
        <x:v>20327</x:v>
      </x:c>
      <x:c r="D11" s="22" t="n">
        <x:v>0</x:v>
      </x:c>
      <x:c r="E11" s="22" t="n">
        <x:v>6</x:v>
      </x:c>
      <x:c r="F11" s="24" t="n">
        <x:v>22.821875</x:v>
      </x:c>
      <x:c r="G11" s="24" t="n">
        <x:v>23.303125</x:v>
      </x:c>
      <x:c r="H11" s="29" t="n">
        <x:f>G11-F11</x:f>
        <x:v>0.48125000000000284</x:v>
      </x:c>
      <x:c r="I11" s="24" t="n">
        <x:v>31.3</x:v>
      </x:c>
      <x:c r="J11" s="24" t="n">
        <x:v>31.6</x:v>
      </x:c>
      <x:c r="K11" s="29" t="n">
        <x:f>J11-I11</x:f>
        <x:v>0.3000000000000007</x:v>
      </x:c>
      <x:c r="L11" s="24" t="n">
        <x:v>16.6</x:v>
      </x:c>
      <x:c r="M11" s="24" t="n">
        <x:v>18.5</x:v>
      </x:c>
      <x:c r="N11" s="29" t="n">
        <x:f>M11-L11</x:f>
        <x:v>1.8999999999999986</x:v>
      </x:c>
      <x:c r="O11" s="24" t="n">
        <x:v>22.954166666666666</x:v>
      </x:c>
      <x:c r="P11" s="24" t="n">
        <x:v>23.81041666666667</x:v>
      </x:c>
      <x:c r="Q11" s="29" t="n">
        <x:f>P11-O11</x:f>
        <x:v>0.8562500000000028</x:v>
      </x:c>
    </x:row>
    <x:row r="12">
      <x:c r="A12" s="22" t="n">
        <x:v>1956</x:v>
      </x:c>
      <x:c r="B12" s="23" t="n">
        <x:v>20699</x:v>
      </x:c>
      <x:c r="C12" s="23" t="n">
        <x:v>20698</x:v>
      </x:c>
      <x:c r="D12" s="22" t="n">
        <x:v>3</x:v>
      </x:c>
      <x:c r="E12" s="22" t="n">
        <x:v>1</x:v>
      </x:c>
      <x:c r="F12" s="24" t="n">
        <x:v>20.005208333333332</x:v>
      </x:c>
      <x:c r="G12" s="24" t="n">
        <x:v>20.469791666666666</x:v>
      </x:c>
      <x:c r="H12" s="29" t="n">
        <x:f>G12-F12</x:f>
        <x:v>0.46458333333333357</x:v>
      </x:c>
      <x:c r="I12" s="24" t="n">
        <x:v>28.3</x:v>
      </x:c>
      <x:c r="J12" s="24" t="n">
        <x:v>28.3</x:v>
      </x:c>
      <x:c r="K12" s="29" t="n">
        <x:f>J12-I12</x:f>
        <x:v>0</x:v>
      </x:c>
      <x:c r="L12" s="24" t="n">
        <x:v>11.5</x:v>
      </x:c>
      <x:c r="M12" s="24" t="n">
        <x:v>11.5</x:v>
      </x:c>
      <x:c r="N12" s="29" t="n">
        <x:f>M12-L12</x:f>
        <x:v>0</x:v>
      </x:c>
      <x:c r="O12" s="24" t="n">
        <x:v>18.603125</x:v>
      </x:c>
      <x:c r="P12" s="24" t="n">
        <x:v>19.461458333333333</x:v>
      </x:c>
      <x:c r="Q12" s="29" t="n">
        <x:f>P12-O12</x:f>
        <x:v>0.8583333333333343</x:v>
      </x:c>
    </x:row>
    <x:row r="13">
      <x:c r="A13" s="22" t="n">
        <x:v>1957</x:v>
      </x:c>
      <x:c r="B13" s="23" t="n">
        <x:v>21064</x:v>
      </x:c>
      <x:c r="C13" s="23" t="n">
        <x:v>21062</x:v>
      </x:c>
      <x:c r="D13" s="22" t="n">
        <x:v>2</x:v>
      </x:c>
      <x:c r="E13" s="22" t="n">
        <x:v>2</x:v>
      </x:c>
      <x:c r="F13" s="24" t="n">
        <x:v>20.87708333333333</x:v>
      </x:c>
      <x:c r="G13" s="24" t="n">
        <x:v>20.695833333333333</x:v>
      </x:c>
      <x:c r="H13" s="29" t="n">
        <x:f>G13-F13</x:f>
        <x:v>-0.18124999999999858</x:v>
      </x:c>
      <x:c r="I13" s="24" t="n">
        <x:v>28.4</x:v>
      </x:c>
      <x:c r="J13" s="24" t="n">
        <x:v>28.1</x:v>
      </x:c>
      <x:c r="K13" s="29" t="n">
        <x:f>J13-I13</x:f>
        <x:v>-0.29999999999999716</x:v>
      </x:c>
      <x:c r="L13" s="24" t="n">
        <x:v>15.4</x:v>
      </x:c>
      <x:c r="M13" s="24" t="n">
        <x:v>15.4</x:v>
      </x:c>
      <x:c r="N13" s="29" t="n">
        <x:f>M13-L13</x:f>
        <x:v>0</x:v>
      </x:c>
      <x:c r="O13" s="24" t="n">
        <x:v>22.192708333333336</x:v>
      </x:c>
      <x:c r="P13" s="24" t="n">
        <x:v>22.133333333333333</x:v>
      </x:c>
      <x:c r="Q13" s="29" t="n">
        <x:f>P13-O13</x:f>
        <x:v>-0.05937500000000284</x:v>
      </x:c>
    </x:row>
    <x:row r="14">
      <x:c r="A14" s="22" t="n">
        <x:v>1958</x:v>
      </x:c>
      <x:c r="B14" s="23" t="n">
        <x:v>21429</x:v>
      </x:c>
      <x:c r="C14" s="23" t="n">
        <x:v>21426</x:v>
      </x:c>
      <x:c r="D14" s="22" t="n">
        <x:v>1</x:v>
      </x:c>
      <x:c r="E14" s="22" t="n">
        <x:v>3</x:v>
      </x:c>
      <x:c r="F14" s="24" t="n">
        <x:v>23.195833333333333</x:v>
      </x:c>
      <x:c r="G14" s="24" t="n">
        <x:v>22.483333333333334</x:v>
      </x:c>
      <x:c r="H14" s="29" t="n">
        <x:f>G14-F14</x:f>
        <x:v>-0.7124999999999986</x:v>
      </x:c>
      <x:c r="I14" s="24" t="n">
        <x:v>31.7</x:v>
      </x:c>
      <x:c r="J14" s="24" t="n">
        <x:v>29.9</x:v>
      </x:c>
      <x:c r="K14" s="29" t="n">
        <x:f>J14-I14</x:f>
        <x:v>-1.8000000000000007</x:v>
      </x:c>
      <x:c r="L14" s="24" t="n">
        <x:v>16.4</x:v>
      </x:c>
      <x:c r="M14" s="24" t="n">
        <x:v>16.1</x:v>
      </x:c>
      <x:c r="N14" s="29" t="n">
        <x:f>M14-L14</x:f>
        <x:v>-0.29999999999999716</x:v>
      </x:c>
      <x:c r="O14" s="24" t="n">
        <x:v>22.873958333333334</x:v>
      </x:c>
      <x:c r="P14" s="24" t="n">
        <x:v>22.73229166666667</x:v>
      </x:c>
      <x:c r="Q14" s="29" t="n">
        <x:f>P14-O14</x:f>
        <x:v>-0.14166666666666572</x:v>
      </x:c>
    </x:row>
    <x:row r="15">
      <x:c r="A15" s="22" t="n">
        <x:v>1959</x:v>
      </x:c>
      <x:c r="B15" s="23" t="n">
        <x:v>21794</x:v>
      </x:c>
      <x:c r="C15" s="23" t="n">
        <x:v>21790</x:v>
      </x:c>
      <x:c r="D15" s="22" t="n">
        <x:v>0</x:v>
      </x:c>
      <x:c r="E15" s="22" t="n">
        <x:v>4</x:v>
      </x:c>
      <x:c r="F15" s="24" t="n">
        <x:v>20.584375</x:v>
      </x:c>
      <x:c r="G15" s="24" t="n">
        <x:v>23.670833333333334</x:v>
      </x:c>
      <x:c r="H15" s="29" t="n">
        <x:f>G15-F15</x:f>
        <x:v>3.086458333333333</x:v>
      </x:c>
      <x:c r="I15" s="24" t="n">
        <x:v>27.5</x:v>
      </x:c>
      <x:c r="J15" s="24" t="n">
        <x:v>31</x:v>
      </x:c>
      <x:c r="K15" s="29" t="n">
        <x:f>J15-I15</x:f>
        <x:v>3.5</x:v>
      </x:c>
      <x:c r="L15" s="24" t="n">
        <x:v>14.4</x:v>
      </x:c>
      <x:c r="M15" s="24" t="n">
        <x:v>16.8</x:v>
      </x:c>
      <x:c r="N15" s="29" t="n">
        <x:f>M15-L15</x:f>
        <x:v>2.4000000000000004</x:v>
      </x:c>
      <x:c r="O15" s="24" t="n">
        <x:v>21.404166666666665</x:v>
      </x:c>
      <x:c r="P15" s="24" t="n">
        <x:v>24.137500000000003</x:v>
      </x:c>
      <x:c r="Q15" s="29" t="n">
        <x:f>P15-O15</x:f>
        <x:v>2.733333333333338</x:v>
      </x:c>
    </x:row>
    <x:row r="16">
      <x:c r="A16" s="22" t="n">
        <x:v>1960</x:v>
      </x:c>
      <x:c r="B16" s="23" t="n">
        <x:v>22160</x:v>
      </x:c>
      <x:c r="C16" s="23" t="n">
        <x:v>22154</x:v>
      </x:c>
      <x:c r="D16" s="22" t="n">
        <x:v>0</x:v>
      </x:c>
      <x:c r="E16" s="22" t="n">
        <x:v>6</x:v>
      </x:c>
      <x:c r="F16" s="24" t="n">
        <x:v>22.696875</x:v>
      </x:c>
      <x:c r="G16" s="24" t="n">
        <x:v>25.882291666666667</x:v>
      </x:c>
      <x:c r="H16" s="29" t="n">
        <x:f>G16-F16</x:f>
        <x:v>3.1854166666666686</x:v>
      </x:c>
      <x:c r="I16" s="24" t="n">
        <x:v>29.7</x:v>
      </x:c>
      <x:c r="J16" s="24" t="n">
        <x:v>34.5</x:v>
      </x:c>
      <x:c r="K16" s="29" t="n">
        <x:f>J16-I16</x:f>
        <x:v>4.800000000000001</x:v>
      </x:c>
      <x:c r="L16" s="24" t="n">
        <x:v>16.6</x:v>
      </x:c>
      <x:c r="M16" s="24" t="n">
        <x:v>19.8</x:v>
      </x:c>
      <x:c r="N16" s="29" t="n">
        <x:f>M16-L16</x:f>
        <x:v>3.1999999999999993</x:v>
      </x:c>
      <x:c r="O16" s="24" t="n">
        <x:v>24.31041666666667</x:v>
      </x:c>
      <x:c r="P16" s="24" t="n">
        <x:v>26.5</x:v>
      </x:c>
      <x:c r="Q16" s="29" t="n">
        <x:f>P16-O16</x:f>
        <x:v>2.1895833333333314</x:v>
      </x:c>
    </x:row>
    <x:row r="17">
      <x:c r="A17" s="22" t="n">
        <x:v>1961</x:v>
      </x:c>
      <x:c r="B17" s="23" t="n">
        <x:v>22525</x:v>
      </x:c>
      <x:c r="C17" s="23" t="n">
        <x:v>22518</x:v>
      </x:c>
      <x:c r="D17" s="22" t="n">
        <x:v>0</x:v>
      </x:c>
      <x:c r="E17" s="22" t="n">
        <x:v>7</x:v>
      </x:c>
      <x:c r="F17" s="24" t="n">
        <x:v>21.134375</x:v>
      </x:c>
      <x:c r="G17" s="24" t="n">
        <x:v>22.76875</x:v>
      </x:c>
      <x:c r="H17" s="29" t="n">
        <x:f>G17-F17</x:f>
        <x:v>1.6343750000000021</x:v>
      </x:c>
      <x:c r="I17" s="24" t="n">
        <x:v>29</x:v>
      </x:c>
      <x:c r="J17" s="24" t="n">
        <x:v>29.8</x:v>
      </x:c>
      <x:c r="K17" s="29" t="n">
        <x:f>J17-I17</x:f>
        <x:v>0.8000000000000007</x:v>
      </x:c>
      <x:c r="L17" s="24" t="n">
        <x:v>14.5</x:v>
      </x:c>
      <x:c r="M17" s="24" t="n">
        <x:v>15.3</x:v>
      </x:c>
      <x:c r="N17" s="29" t="n">
        <x:f>M17-L17</x:f>
        <x:v>0.8000000000000007</x:v>
      </x:c>
      <x:c r="O17" s="24" t="n">
        <x:v>21.710416666666667</x:v>
      </x:c>
      <x:c r="P17" s="24" t="n">
        <x:v>23.620833333333334</x:v>
      </x:c>
      <x:c r="Q17" s="29" t="n">
        <x:f>P17-O17</x:f>
        <x:v>1.9104166666666664</x:v>
      </x:c>
    </x:row>
    <x:row r="18">
      <x:c r="A18" s="22" t="n">
        <x:v>1962</x:v>
      </x:c>
      <x:c r="B18" s="23" t="n">
        <x:v>22890</x:v>
      </x:c>
      <x:c r="C18" s="23" t="n">
        <x:v>22889</x:v>
      </x:c>
      <x:c r="D18" s="22" t="n">
        <x:v>3</x:v>
      </x:c>
      <x:c r="E18" s="22" t="n">
        <x:v>1</x:v>
      </x:c>
      <x:c r="F18" s="24" t="n">
        <x:v>24.1375</x:v>
      </x:c>
      <x:c r="G18" s="24" t="n">
        <x:v>24.211458333333333</x:v>
      </x:c>
      <x:c r="H18" s="29" t="n">
        <x:f>G18-F18</x:f>
        <x:v>0.07395833333333357</x:v>
      </x:c>
      <x:c r="I18" s="24" t="n">
        <x:v>33.8</x:v>
      </x:c>
      <x:c r="J18" s="24" t="n">
        <x:v>32.7</x:v>
      </x:c>
      <x:c r="K18" s="29" t="n">
        <x:f>J18-I18</x:f>
        <x:v>-1.0999999999999943</x:v>
      </x:c>
      <x:c r="L18" s="24" t="n">
        <x:v>16.8</x:v>
      </x:c>
      <x:c r="M18" s="24" t="n">
        <x:v>16.8</x:v>
      </x:c>
      <x:c r="N18" s="29" t="n">
        <x:f>M18-L18</x:f>
        <x:v>0</x:v>
      </x:c>
      <x:c r="O18" s="24" t="n">
        <x:v>24.642708333333335</x:v>
      </x:c>
      <x:c r="P18" s="24" t="n">
        <x:v>24.68541666666667</x:v>
      </x:c>
      <x:c r="Q18" s="29" t="n">
        <x:f>P18-O18</x:f>
        <x:v>0.04270833333333357</x:v>
      </x:c>
    </x:row>
    <x:row r="19">
      <x:c r="A19" s="22" t="n">
        <x:v>1963</x:v>
      </x:c>
      <x:c r="B19" s="23" t="n">
        <x:v>23255</x:v>
      </x:c>
      <x:c r="C19" s="23" t="n">
        <x:v>23253</x:v>
      </x:c>
      <x:c r="D19" s="22" t="n">
        <x:v>2</x:v>
      </x:c>
      <x:c r="E19" s="22" t="n">
        <x:v>2</x:v>
      </x:c>
      <x:c r="F19" s="24" t="n">
        <x:v>19.248958333333334</x:v>
      </x:c>
      <x:c r="G19" s="24" t="n">
        <x:v>21.46875</x:v>
      </x:c>
      <x:c r="H19" s="29" t="n">
        <x:f>G19-F19</x:f>
        <x:v>2.2197916666666657</x:v>
      </x:c>
      <x:c r="I19" s="24" t="n">
        <x:v>29</x:v>
      </x:c>
      <x:c r="J19" s="24" t="n">
        <x:v>29.8</x:v>
      </x:c>
      <x:c r="K19" s="29" t="n">
        <x:f>J19-I19</x:f>
        <x:v>0.8000000000000007</x:v>
      </x:c>
      <x:c r="L19" s="24" t="n">
        <x:v>12.8</x:v>
      </x:c>
      <x:c r="M19" s="24" t="n">
        <x:v>16.5</x:v>
      </x:c>
      <x:c r="N19" s="29" t="n">
        <x:f>M19-L19</x:f>
        <x:v>3.6999999999999993</x:v>
      </x:c>
      <x:c r="O19" s="24" t="n">
        <x:v>19.535416666666666</x:v>
      </x:c>
      <x:c r="P19" s="24" t="n">
        <x:v>21.511458333333334</x:v>
      </x:c>
      <x:c r="Q19" s="29" t="n">
        <x:f>P19-O19</x:f>
        <x:v>1.9760416666666671</x:v>
      </x:c>
    </x:row>
    <x:row r="20">
      <x:c r="A20" s="22" t="n">
        <x:v>1964</x:v>
      </x:c>
      <x:c r="B20" s="23" t="n">
        <x:v>23621</x:v>
      </x:c>
      <x:c r="C20" s="23" t="n">
        <x:v>23617</x:v>
      </x:c>
      <x:c r="D20" s="22" t="n">
        <x:v>0</x:v>
      </x:c>
      <x:c r="E20" s="22" t="n">
        <x:v>4</x:v>
      </x:c>
      <x:c r="F20" s="24" t="n">
        <x:v>24.657291666666666</x:v>
      </x:c>
      <x:c r="G20" s="24" t="n">
        <x:v>22.834375</x:v>
      </x:c>
      <x:c r="H20" s="29" t="n">
        <x:f>G20-F20</x:f>
        <x:v>-1.8229166666666643</x:v>
      </x:c>
      <x:c r="I20" s="24" t="n">
        <x:v>33.8</x:v>
      </x:c>
      <x:c r="J20" s="24" t="n">
        <x:v>29.4</x:v>
      </x:c>
      <x:c r="K20" s="29" t="n">
        <x:f>J20-I20</x:f>
        <x:v>-4.399999999999999</x:v>
      </x:c>
      <x:c r="L20" s="24" t="n">
        <x:v>16.6</x:v>
      </x:c>
      <x:c r="M20" s="24" t="n">
        <x:v>17.6</x:v>
      </x:c>
      <x:c r="N20" s="29" t="n">
        <x:f>M20-L20</x:f>
        <x:v>1</x:v>
      </x:c>
      <x:c r="O20" s="24" t="n">
        <x:v>25.292708333333337</x:v>
      </x:c>
      <x:c r="P20" s="24" t="n">
        <x:v>23.99375</x:v>
      </x:c>
      <x:c r="Q20" s="29" t="n">
        <x:f>P20-O20</x:f>
        <x:v>-1.2989583333333385</x:v>
      </x:c>
    </x:row>
    <x:row r="21">
      <x:c r="A21" s="22" t="n">
        <x:v>1965</x:v>
      </x:c>
      <x:c r="B21" s="23" t="n">
        <x:v>23986</x:v>
      </x:c>
      <x:c r="C21" s="23" t="n">
        <x:v>23981</x:v>
      </x:c>
      <x:c r="D21" s="22" t="n">
        <x:v>0</x:v>
      </x:c>
      <x:c r="E21" s="22" t="n">
        <x:v>5</x:v>
      </x:c>
      <x:c r="F21" s="24" t="n">
        <x:v>17.088541666666668</x:v>
      </x:c>
      <x:c r="G21" s="24" t="n">
        <x:v>23.028125000000003</x:v>
      </x:c>
      <x:c r="H21" s="29" t="n">
        <x:f>G21-F21</x:f>
        <x:v>5.939583333333335</x:v>
      </x:c>
      <x:c r="I21" s="24" t="n">
        <x:v>26.2</x:v>
      </x:c>
      <x:c r="J21" s="24" t="n">
        <x:v>31.7</x:v>
      </x:c>
      <x:c r="K21" s="29" t="n">
        <x:f>J21-I21</x:f>
        <x:v>5.5</x:v>
      </x:c>
      <x:c r="L21" s="24" t="n">
        <x:v>9</x:v>
      </x:c>
      <x:c r="M21" s="24" t="n">
        <x:v>16.8</x:v>
      </x:c>
      <x:c r="N21" s="29" t="n">
        <x:f>M21-L21</x:f>
        <x:v>7.800000000000001</x:v>
      </x:c>
      <x:c r="O21" s="24" t="n">
        <x:v>15.586458333333333</x:v>
      </x:c>
      <x:c r="P21" s="24" t="n">
        <x:v>23.426041666666666</x:v>
      </x:c>
      <x:c r="Q21" s="29" t="n">
        <x:f>P21-O21</x:f>
        <x:v>7.839583333333334</x:v>
      </x:c>
    </x:row>
    <x:row r="22">
      <x:c r="A22" s="22" t="n">
        <x:v>1966</x:v>
      </x:c>
      <x:c r="B22" s="23" t="n">
        <x:v>24351</x:v>
      </x:c>
      <x:c r="C22" s="23" t="n">
        <x:v>24345</x:v>
      </x:c>
      <x:c r="D22" s="22" t="n">
        <x:v>0</x:v>
      </x:c>
      <x:c r="E22" s="22" t="n">
        <x:v>6</x:v>
      </x:c>
      <x:c r="F22" s="24" t="n">
        <x:v>22.307291666666668</x:v>
      </x:c>
      <x:c r="G22" s="24" t="n">
        <x:v>23.890625</x:v>
      </x:c>
      <x:c r="H22" s="29" t="n">
        <x:f>G22-F22</x:f>
        <x:v>1.5833333333333321</x:v>
      </x:c>
      <x:c r="I22" s="24" t="n">
        <x:v>31.4</x:v>
      </x:c>
      <x:c r="J22" s="24" t="n">
        <x:v>32.1</x:v>
      </x:c>
      <x:c r="K22" s="29" t="n">
        <x:f>J22-I22</x:f>
        <x:v>0.7000000000000028</x:v>
      </x:c>
      <x:c r="L22" s="24" t="n">
        <x:v>16.4</x:v>
      </x:c>
      <x:c r="M22" s="24" t="n">
        <x:v>16.4</x:v>
      </x:c>
      <x:c r="N22" s="29" t="n">
        <x:f>M22-L22</x:f>
        <x:v>0</x:v>
      </x:c>
      <x:c r="O22" s="24" t="n">
        <x:v>22.842708333333334</x:v>
      </x:c>
      <x:c r="P22" s="24" t="n">
        <x:v>23.032291666666666</x:v>
      </x:c>
      <x:c r="Q22" s="29" t="n">
        <x:f>P22-O22</x:f>
        <x:v>0.18958333333333144</x:v>
      </x:c>
    </x:row>
    <x:row r="23">
      <x:c r="A23" s="22" t="n">
        <x:v>1967</x:v>
      </x:c>
      <x:c r="B23" s="23" t="n">
        <x:v>24716</x:v>
      </x:c>
      <x:c r="C23" s="23" t="n">
        <x:v>24709</x:v>
      </x:c>
      <x:c r="D23" s="22" t="n">
        <x:v>0</x:v>
      </x:c>
      <x:c r="E23" s="22" t="n">
        <x:v>7</x:v>
      </x:c>
      <x:c r="F23" s="24" t="n">
        <x:v>22.98229166666667</x:v>
      </x:c>
      <x:c r="G23" s="24" t="n">
        <x:v>21.192708333333336</x:v>
      </x:c>
      <x:c r="H23" s="29" t="n">
        <x:f>G23-F23</x:f>
        <x:v>-1.7895833333333329</x:v>
      </x:c>
      <x:c r="I23" s="24" t="n">
        <x:v>30.5</x:v>
      </x:c>
      <x:c r="J23" s="24" t="n">
        <x:v>28.1</x:v>
      </x:c>
      <x:c r="K23" s="29" t="n">
        <x:f>J23-I23</x:f>
        <x:v>-2.3999999999999986</x:v>
      </x:c>
      <x:c r="L23" s="24" t="n">
        <x:v>16.6</x:v>
      </x:c>
      <x:c r="M23" s="24" t="n">
        <x:v>16.2</x:v>
      </x:c>
      <x:c r="N23" s="29" t="n">
        <x:f>M23-L23</x:f>
        <x:v>-0.40000000000000213</x:v>
      </x:c>
      <x:c r="O23" s="24" t="n">
        <x:v>22.598958333333336</x:v>
      </x:c>
      <x:c r="P23" s="24" t="n">
        <x:v>22.55</x:v>
      </x:c>
      <x:c r="Q23" s="29" t="n">
        <x:f>P23-O23</x:f>
        <x:v>-0.04895833333333499</x:v>
      </x:c>
    </x:row>
    <x:row r="24">
      <x:c r="A24" s="22" t="n">
        <x:v>1968</x:v>
      </x:c>
      <x:c r="B24" s="23" t="n">
        <x:v>25082</x:v>
      </x:c>
      <x:c r="C24" s="23" t="n">
        <x:v>25080</x:v>
      </x:c>
      <x:c r="D24" s="22" t="n">
        <x:v>2</x:v>
      </x:c>
      <x:c r="E24" s="22" t="n">
        <x:v>2</x:v>
      </x:c>
      <x:c r="F24" s="24" t="n">
        <x:v>21.636458333333334</x:v>
      </x:c>
      <x:c r="G24" s="24" t="n">
        <x:v>21.945833333333333</x:v>
      </x:c>
      <x:c r="H24" s="29" t="n">
        <x:f>G24-F24</x:f>
        <x:v>0.3093749999999993</x:v>
      </x:c>
      <x:c r="I24" s="24" t="n">
        <x:v>28.9</x:v>
      </x:c>
      <x:c r="J24" s="24" t="n">
        <x:v>28.9</x:v>
      </x:c>
      <x:c r="K24" s="29" t="n">
        <x:f>J24-I24</x:f>
        <x:v>0</x:v>
      </x:c>
      <x:c r="L24" s="24" t="n">
        <x:v>15</x:v>
      </x:c>
      <x:c r="M24" s="24" t="n">
        <x:v>15</x:v>
      </x:c>
      <x:c r="N24" s="29" t="n">
        <x:f>M24-L24</x:f>
        <x:v>0</x:v>
      </x:c>
      <x:c r="O24" s="24" t="n">
        <x:v>20.24375</x:v>
      </x:c>
      <x:c r="P24" s="24" t="n">
        <x:v>20.770833333333332</x:v>
      </x:c>
      <x:c r="Q24" s="29" t="n">
        <x:f>P24-O24</x:f>
        <x:v>0.5270833333333336</x:v>
      </x:c>
    </x:row>
    <x:row r="25">
      <x:c r="A25" s="22" t="n">
        <x:v>1969</x:v>
      </x:c>
      <x:c r="B25" s="23" t="n">
        <x:v>25447</x:v>
      </x:c>
      <x:c r="C25" s="23" t="n">
        <x:v>25444</x:v>
      </x:c>
      <x:c r="D25" s="22" t="n">
        <x:v>1</x:v>
      </x:c>
      <x:c r="E25" s="22" t="n">
        <x:v>3</x:v>
      </x:c>
      <x:c r="F25" s="24" t="n">
        <x:v>19.30625</x:v>
      </x:c>
      <x:c r="G25" s="24" t="n">
        <x:v>18.110416666666666</x:v>
      </x:c>
      <x:c r="H25" s="29" t="n">
        <x:f>G25-F25</x:f>
        <x:v>-1.1958333333333329</x:v>
      </x:c>
      <x:c r="I25" s="24" t="n">
        <x:v>25.3</x:v>
      </x:c>
      <x:c r="J25" s="24" t="n">
        <x:v>27.4</x:v>
      </x:c>
      <x:c r="K25" s="29" t="n">
        <x:f>J25-I25</x:f>
        <x:v>2.099999999999998</x:v>
      </x:c>
      <x:c r="L25" s="24" t="n">
        <x:v>14.2</x:v>
      </x:c>
      <x:c r="M25" s="24" t="n">
        <x:v>14.7</x:v>
      </x:c>
      <x:c r="N25" s="29" t="n">
        <x:f>M25-L25</x:f>
        <x:v>0.5</x:v>
      </x:c>
      <x:c r="O25" s="24" t="n">
        <x:v>19.6625</x:v>
      </x:c>
      <x:c r="P25" s="24" t="n">
        <x:v>18.22083333333333</x:v>
      </x:c>
      <x:c r="Q25" s="29" t="n">
        <x:f>P25-O25</x:f>
        <x:v>-1.44166666666667</x:v>
      </x:c>
    </x:row>
    <x:row r="26">
      <x:c r="A26" s="22" t="n">
        <x:v>1970</x:v>
      </x:c>
      <x:c r="B26" s="23" t="n">
        <x:v>25812</x:v>
      </x:c>
      <x:c r="C26" s="23" t="n">
        <x:v>25808</x:v>
      </x:c>
      <x:c r="D26" s="22" t="n">
        <x:v>0</x:v>
      </x:c>
      <x:c r="E26" s="22" t="n">
        <x:v>4</x:v>
      </x:c>
      <x:c r="F26" s="24" t="n">
        <x:v>22.886458333333334</x:v>
      </x:c>
      <x:c r="G26" s="24" t="n">
        <x:v>22.566666666666666</x:v>
      </x:c>
      <x:c r="H26" s="29" t="n">
        <x:f>G26-F26</x:f>
        <x:v>-0.31979166666666714</x:v>
      </x:c>
      <x:c r="I26" s="24" t="n">
        <x:v>31</x:v>
      </x:c>
      <x:c r="J26" s="24" t="n">
        <x:v>29.2</x:v>
      </x:c>
      <x:c r="K26" s="29" t="n">
        <x:f>J26-I26</x:f>
        <x:v>-1.8000000000000007</x:v>
      </x:c>
      <x:c r="L26" s="24" t="n">
        <x:v>17.2</x:v>
      </x:c>
      <x:c r="M26" s="24" t="n">
        <x:v>18</x:v>
      </x:c>
      <x:c r="N26" s="29" t="n">
        <x:f>M26-L26</x:f>
        <x:v>0.8000000000000007</x:v>
      </x:c>
      <x:c r="O26" s="24" t="n">
        <x:v>24.155208333333334</x:v>
      </x:c>
      <x:c r="P26" s="24" t="n">
        <x:v>23.792708333333334</x:v>
      </x:c>
      <x:c r="Q26" s="29" t="n">
        <x:f>P26-O26</x:f>
        <x:v>-0.3625000000000007</x:v>
      </x:c>
    </x:row>
    <x:row r="27">
      <x:c r="A27" s="22" t="n">
        <x:v>1971</x:v>
      </x:c>
      <x:c r="B27" s="23" t="n">
        <x:v>26177</x:v>
      </x:c>
      <x:c r="C27" s="23" t="n">
        <x:v>26172</x:v>
      </x:c>
      <x:c r="D27" s="22" t="n">
        <x:v>0</x:v>
      </x:c>
      <x:c r="E27" s="22" t="n">
        <x:v>5</x:v>
      </x:c>
      <x:c r="F27" s="24" t="n">
        <x:v>21.896875</x:v>
      </x:c>
      <x:c r="G27" s="24" t="n">
        <x:v>24.18958333333333</x:v>
      </x:c>
      <x:c r="H27" s="29" t="n">
        <x:f>G27-F27</x:f>
        <x:v>2.29270833333333</x:v>
      </x:c>
      <x:c r="I27" s="24" t="n">
        <x:v>28</x:v>
      </x:c>
      <x:c r="J27" s="24" t="n">
        <x:v>30.8</x:v>
      </x:c>
      <x:c r="K27" s="29" t="n">
        <x:f>J27-I27</x:f>
        <x:v>2.8000000000000007</x:v>
      </x:c>
      <x:c r="L27" s="24" t="n">
        <x:v>15.2</x:v>
      </x:c>
      <x:c r="M27" s="24" t="n">
        <x:v>18.1</x:v>
      </x:c>
      <x:c r="N27" s="29" t="n">
        <x:f>M27-L27</x:f>
        <x:v>2.900000000000002</x:v>
      </x:c>
      <x:c r="O27" s="24" t="n">
        <x:v>23.348958333333336</x:v>
      </x:c>
      <x:c r="P27" s="24" t="n">
        <x:v>24.1875</x:v>
      </x:c>
      <x:c r="Q27" s="29" t="n">
        <x:f>P27-O27</x:f>
        <x:v>0.8385416666666643</x:v>
      </x:c>
    </x:row>
    <x:row r="28">
      <x:c r="A28" s="22" t="n">
        <x:v>1972</x:v>
      </x:c>
      <x:c r="B28" s="23" t="n">
        <x:v>26543</x:v>
      </x:c>
      <x:c r="C28" s="23" t="n">
        <x:v>26536</x:v>
      </x:c>
      <x:c r="D28" s="22" t="n">
        <x:v>0</x:v>
      </x:c>
      <x:c r="E28" s="22" t="n">
        <x:v>7</x:v>
      </x:c>
      <x:c r="F28" s="24" t="n">
        <x:v>17.679166666666667</x:v>
      </x:c>
      <x:c r="G28" s="24" t="n">
        <x:v>22.228125</x:v>
      </x:c>
      <x:c r="H28" s="29" t="n">
        <x:f>G28-F28</x:f>
        <x:v>4.548958333333331</x:v>
      </x:c>
      <x:c r="I28" s="24" t="n">
        <x:v>22.7</x:v>
      </x:c>
      <x:c r="J28" s="24" t="n">
        <x:v>29.6</x:v>
      </x:c>
      <x:c r="K28" s="29" t="n">
        <x:f>J28-I28</x:f>
        <x:v>6.900000000000002</x:v>
      </x:c>
      <x:c r="L28" s="24" t="n">
        <x:v>12.4</x:v>
      </x:c>
      <x:c r="M28" s="24" t="n">
        <x:v>15.9</x:v>
      </x:c>
      <x:c r="N28" s="29" t="n">
        <x:f>M28-L28</x:f>
        <x:v>3.5</x:v>
      </x:c>
      <x:c r="O28" s="24" t="n">
        <x:v>18.21666666666667</x:v>
      </x:c>
      <x:c r="P28" s="24" t="n">
        <x:v>22.49791666666667</x:v>
      </x:c>
      <x:c r="Q28" s="29" t="n">
        <x:f>P28-O28</x:f>
        <x:v>4.28125</x:v>
      </x:c>
    </x:row>
    <x:row r="29">
      <x:c r="A29" s="22" t="n">
        <x:v>1973</x:v>
      </x:c>
      <x:c r="B29" s="23" t="n">
        <x:v>26908</x:v>
      </x:c>
      <x:c r="C29" s="23" t="n">
        <x:v>26907</x:v>
      </x:c>
      <x:c r="D29" s="22" t="n">
        <x:v>3</x:v>
      </x:c>
      <x:c r="E29" s="22" t="n">
        <x:v>1</x:v>
      </x:c>
      <x:c r="F29" s="24" t="n">
        <x:v>20.540625</x:v>
      </x:c>
      <x:c r="G29" s="24" t="n">
        <x:v>20.463541666666668</x:v>
      </x:c>
      <x:c r="H29" s="29" t="n">
        <x:f>G29-F29</x:f>
        <x:v>-0.07708333333333073</x:v>
      </x:c>
      <x:c r="I29" s="24" t="n">
        <x:v>27.7</x:v>
      </x:c>
      <x:c r="J29" s="24" t="n">
        <x:v>26.7</x:v>
      </x:c>
      <x:c r="K29" s="29" t="n">
        <x:f>J29-I29</x:f>
        <x:v>-1</x:v>
      </x:c>
      <x:c r="L29" s="24" t="n">
        <x:v>15.4</x:v>
      </x:c>
      <x:c r="M29" s="24" t="n">
        <x:v>15.1</x:v>
      </x:c>
      <x:c r="N29" s="29" t="n">
        <x:f>M29-L29</x:f>
        <x:v>-0.3000000000000007</x:v>
      </x:c>
      <x:c r="O29" s="24" t="n">
        <x:v>21.38125</x:v>
      </x:c>
      <x:c r="P29" s="24" t="n">
        <x:v>21.121875</x:v>
      </x:c>
      <x:c r="Q29" s="29" t="n">
        <x:f>P29-O29</x:f>
        <x:v>-0.25937500000000213</x:v>
      </x:c>
    </x:row>
    <x:row r="30">
      <x:c r="A30" s="22" t="n">
        <x:v>1974</x:v>
      </x:c>
      <x:c r="B30" s="23" t="n">
        <x:v>27273</x:v>
      </x:c>
      <x:c r="C30" s="23" t="n">
        <x:v>27271</x:v>
      </x:c>
      <x:c r="D30" s="22" t="n">
        <x:v>2</x:v>
      </x:c>
      <x:c r="E30" s="22" t="n">
        <x:v>2</x:v>
      </x:c>
      <x:c r="F30" s="24" t="n">
        <x:v>21.067708333333332</x:v>
      </x:c>
      <x:c r="G30" s="24" t="n">
        <x:v>20.963541666666668</x:v>
      </x:c>
      <x:c r="H30" s="29" t="n">
        <x:f>G30-F30</x:f>
        <x:v>-0.1041666666666643</x:v>
      </x:c>
      <x:c r="I30" s="24" t="n">
        <x:v>28.7</x:v>
      </x:c>
      <x:c r="J30" s="24" t="n">
        <x:v>28.7</x:v>
      </x:c>
      <x:c r="K30" s="29" t="n">
        <x:f>J30-I30</x:f>
        <x:v>0</x:v>
      </x:c>
      <x:c r="L30" s="24" t="n">
        <x:v>14.6</x:v>
      </x:c>
      <x:c r="M30" s="24" t="n">
        <x:v>14.6</x:v>
      </x:c>
      <x:c r="N30" s="29" t="n">
        <x:f>M30-L30</x:f>
        <x:v>0</x:v>
      </x:c>
      <x:c r="O30" s="24" t="n">
        <x:v>20.619791666666668</x:v>
      </x:c>
      <x:c r="P30" s="24" t="n">
        <x:v>20.23645833333333</x:v>
      </x:c>
      <x:c r="Q30" s="29" t="n">
        <x:f>P30-O30</x:f>
        <x:v>-0.3833333333333364</x:v>
      </x:c>
    </x:row>
    <x:row r="31">
      <x:c r="A31" s="22" t="n">
        <x:v>1975</x:v>
      </x:c>
      <x:c r="B31" s="23" t="n">
        <x:v>27638</x:v>
      </x:c>
      <x:c r="C31" s="23" t="n">
        <x:v>27635</x:v>
      </x:c>
      <x:c r="D31" s="22" t="n">
        <x:v>1</x:v>
      </x:c>
      <x:c r="E31" s="22" t="n">
        <x:v>3</x:v>
      </x:c>
      <x:c r="F31" s="24" t="n">
        <x:v>20.39270833333333</x:v>
      </x:c>
      <x:c r="G31" s="24" t="n">
        <x:v>20.164583333333333</x:v>
      </x:c>
      <x:c r="H31" s="29" t="n">
        <x:f>G31-F31</x:f>
        <x:v>-0.22812499999999858</x:v>
      </x:c>
      <x:c r="I31" s="24" t="n">
        <x:v>27.3</x:v>
      </x:c>
      <x:c r="J31" s="24" t="n">
        <x:v>28.4</x:v>
      </x:c>
      <x:c r="K31" s="29" t="n">
        <x:f>J31-I31</x:f>
        <x:v>1.0999999999999979</x:v>
      </x:c>
      <x:c r="L31" s="24" t="n">
        <x:v>15.8</x:v>
      </x:c>
      <x:c r="M31" s="24" t="n">
        <x:v>14.4</x:v>
      </x:c>
      <x:c r="N31" s="29" t="n">
        <x:f>M31-L31</x:f>
        <x:v>-1.4000000000000004</x:v>
      </x:c>
      <x:c r="O31" s="24" t="n">
        <x:v>21.420833333333334</x:v>
      </x:c>
      <x:c r="P31" s="24" t="n">
        <x:v>20.878125</x:v>
      </x:c>
      <x:c r="Q31" s="29" t="n">
        <x:f>P31-O31</x:f>
        <x:v>-0.5427083333333336</x:v>
      </x:c>
    </x:row>
    <x:row r="32">
      <x:c r="A32" s="22" t="n">
        <x:v>1976</x:v>
      </x:c>
      <x:c r="B32" s="23" t="n">
        <x:v>28004</x:v>
      </x:c>
      <x:c r="C32" s="23" t="n">
        <x:v>27999</x:v>
      </x:c>
      <x:c r="D32" s="22" t="n">
        <x:v>0</x:v>
      </x:c>
      <x:c r="E32" s="22" t="n">
        <x:v>5</x:v>
      </x:c>
      <x:c r="F32" s="24" t="n">
        <x:v>20.475</x:v>
      </x:c>
      <x:c r="G32" s="24" t="n">
        <x:v>19.9625</x:v>
      </x:c>
      <x:c r="H32" s="29" t="n">
        <x:f>G32-F32</x:f>
        <x:v>-0.5125000000000028</x:v>
      </x:c>
      <x:c r="I32" s="24" t="n">
        <x:v>26.5</x:v>
      </x:c>
      <x:c r="J32" s="24" t="n">
        <x:v>26.3</x:v>
      </x:c>
      <x:c r="K32" s="29" t="n">
        <x:f>J32-I32</x:f>
        <x:v>-0.1999999999999993</x:v>
      </x:c>
      <x:c r="L32" s="24" t="n">
        <x:v>14.8</x:v>
      </x:c>
      <x:c r="M32" s="24" t="n">
        <x:v>14.3</x:v>
      </x:c>
      <x:c r="N32" s="29" t="n">
        <x:f>M32-L32</x:f>
        <x:v>-0.5</x:v>
      </x:c>
      <x:c r="O32" s="24" t="n">
        <x:v>20.365625</x:v>
      </x:c>
      <x:c r="P32" s="24" t="n">
        <x:v>20.471875</x:v>
      </x:c>
      <x:c r="Q32" s="29" t="n">
        <x:f>P32-O32</x:f>
        <x:v>0.10624999999999929</x:v>
      </x:c>
    </x:row>
    <x:row r="33">
      <x:c r="A33" s="22" t="n">
        <x:v>1977</x:v>
      </x:c>
      <x:c r="B33" s="23" t="n">
        <x:v>28369</x:v>
      </x:c>
      <x:c r="C33" s="23" t="n">
        <x:v>28363</x:v>
      </x:c>
      <x:c r="D33" s="22" t="n">
        <x:v>0</x:v>
      </x:c>
      <x:c r="E33" s="22" t="n">
        <x:v>6</x:v>
      </x:c>
      <x:c r="F33" s="24" t="n">
        <x:v>19.719791666666666</x:v>
      </x:c>
      <x:c r="G33" s="24" t="n">
        <x:v>17.977083333333333</x:v>
      </x:c>
      <x:c r="H33" s="29" t="n">
        <x:f>G33-F33</x:f>
        <x:v>-1.7427083333333329</x:v>
      </x:c>
      <x:c r="I33" s="24" t="n">
        <x:v>25.5</x:v>
      </x:c>
      <x:c r="J33" s="24" t="n">
        <x:v>28.3</x:v>
      </x:c>
      <x:c r="K33" s="29" t="n">
        <x:f>J33-I33</x:f>
        <x:v>2.8000000000000007</x:v>
      </x:c>
      <x:c r="L33" s="24" t="n">
        <x:v>15</x:v>
      </x:c>
      <x:c r="M33" s="24" t="n">
        <x:v>10.6</x:v>
      </x:c>
      <x:c r="N33" s="29" t="n">
        <x:f>M33-L33</x:f>
        <x:v>-4.4</x:v>
      </x:c>
      <x:c r="O33" s="24" t="n">
        <x:v>20.953125</x:v>
      </x:c>
      <x:c r="P33" s="24" t="n">
        <x:v>17.664583333333333</x:v>
      </x:c>
      <x:c r="Q33" s="29" t="n">
        <x:f>P33-O33</x:f>
        <x:v>-3.288541666666667</x:v>
      </x:c>
    </x:row>
    <x:row r="34">
      <x:c r="A34" s="22" t="n">
        <x:v>1978</x:v>
      </x:c>
      <x:c r="B34" s="23" t="n">
        <x:v>28734</x:v>
      </x:c>
      <x:c r="C34" s="23" t="n">
        <x:v>28727</x:v>
      </x:c>
      <x:c r="D34" s="22" t="n">
        <x:v>0</x:v>
      </x:c>
      <x:c r="E34" s="22" t="n">
        <x:v>7</x:v>
      </x:c>
      <x:c r="F34" s="24" t="n">
        <x:v>22.217708333333334</x:v>
      </x:c>
      <x:c r="G34" s="24" t="n">
        <x:v>22.782291666666666</x:v>
      </x:c>
      <x:c r="H34" s="29" t="n">
        <x:f>G34-F34</x:f>
        <x:v>0.5645833333333314</x:v>
      </x:c>
      <x:c r="I34" s="24" t="n">
        <x:v>29.6</x:v>
      </x:c>
      <x:c r="J34" s="24" t="n">
        <x:v>28.9</x:v>
      </x:c>
      <x:c r="K34" s="29" t="n">
        <x:f>J34-I34</x:f>
        <x:v>-0.7000000000000028</x:v>
      </x:c>
      <x:c r="L34" s="24" t="n">
        <x:v>16.4</x:v>
      </x:c>
      <x:c r="M34" s="24" t="n">
        <x:v>17.8</x:v>
      </x:c>
      <x:c r="N34" s="29" t="n">
        <x:f>M34-L34</x:f>
        <x:v>1.4000000000000021</x:v>
      </x:c>
      <x:c r="O34" s="24" t="n">
        <x:v>22.583333333333336</x:v>
      </x:c>
      <x:c r="P34" s="24" t="n">
        <x:v>24.947916666666664</x:v>
      </x:c>
      <x:c r="Q34" s="29" t="n">
        <x:f>P34-O34</x:f>
        <x:v>2.3645833333333286</x:v>
      </x:c>
    </x:row>
    <x:row r="35">
      <x:c r="A35" s="22" t="n">
        <x:v>1979</x:v>
      </x:c>
      <x:c r="B35" s="23" t="n">
        <x:v>29099</x:v>
      </x:c>
      <x:c r="C35" s="23" t="n">
        <x:v>29098</x:v>
      </x:c>
      <x:c r="D35" s="22" t="n">
        <x:v>3</x:v>
      </x:c>
      <x:c r="E35" s="22" t="n">
        <x:v>1</x:v>
      </x:c>
      <x:c r="F35" s="24" t="n">
        <x:v>21.169791666666665</x:v>
      </x:c>
      <x:c r="G35" s="24" t="n">
        <x:v>21.04895833333333</x:v>
      </x:c>
      <x:c r="H35" s="29" t="n">
        <x:f>G35-F35</x:f>
        <x:v>-0.12083333333333357</x:v>
      </x:c>
      <x:c r="I35" s="24" t="n">
        <x:v>27.7</x:v>
      </x:c>
      <x:c r="J35" s="24" t="n">
        <x:v>27.5</x:v>
      </x:c>
      <x:c r="K35" s="29" t="n">
        <x:f>J35-I35</x:f>
        <x:v>-0.1999999999999993</x:v>
      </x:c>
      <x:c r="L35" s="24" t="n">
        <x:v>14.2</x:v>
      </x:c>
      <x:c r="M35" s="24" t="n">
        <x:v>14.2</x:v>
      </x:c>
      <x:c r="N35" s="29" t="n">
        <x:f>M35-L35</x:f>
        <x:v>0</x:v>
      </x:c>
      <x:c r="O35" s="24" t="n">
        <x:v>21.82604166666667</x:v>
      </x:c>
      <x:c r="P35" s="24" t="n">
        <x:v>21.59583333333333</x:v>
      </x:c>
      <x:c r="Q35" s="29" t="n">
        <x:f>P35-O35</x:f>
        <x:v>-0.23020833333333712</x:v>
      </x:c>
    </x:row>
    <x:row r="36">
      <x:c r="A36" s="22" t="n">
        <x:v>1980</x:v>
      </x:c>
      <x:c r="B36" s="23" t="n">
        <x:v>29465</x:v>
      </x:c>
      <x:c r="C36" s="23" t="n">
        <x:v>29462</x:v>
      </x:c>
      <x:c r="D36" s="22" t="n">
        <x:v>1</x:v>
      </x:c>
      <x:c r="E36" s="22" t="n">
        <x:v>3</x:v>
      </x:c>
      <x:c r="F36" s="24" t="n">
        <x:v>22.0125</x:v>
      </x:c>
      <x:c r="G36" s="24" t="n">
        <x:v>23.994791666666668</x:v>
      </x:c>
      <x:c r="H36" s="29" t="n">
        <x:f>G36-F36</x:f>
        <x:v>1.9822916666666686</x:v>
      </x:c>
      <x:c r="I36" s="24" t="n">
        <x:v>27.8</x:v>
      </x:c>
      <x:c r="J36" s="24" t="n">
        <x:v>33.2</x:v>
      </x:c>
      <x:c r="K36" s="29" t="n">
        <x:f>J36-I36</x:f>
        <x:v>5.400000000000002</x:v>
      </x:c>
      <x:c r="L36" s="24" t="n">
        <x:v>16.6</x:v>
      </x:c>
      <x:c r="M36" s="24" t="n">
        <x:v>17</x:v>
      </x:c>
      <x:c r="N36" s="29" t="n">
        <x:f>M36-L36</x:f>
        <x:v>0.3999999999999986</x:v>
      </x:c>
      <x:c r="O36" s="24" t="n">
        <x:v>23.423958333333335</x:v>
      </x:c>
      <x:c r="P36" s="24" t="n">
        <x:v>25.252083333333335</x:v>
      </x:c>
      <x:c r="Q36" s="29" t="n">
        <x:f>P36-O36</x:f>
        <x:v>1.828125</x:v>
      </x:c>
    </x:row>
    <x:row r="37">
      <x:c r="A37" s="22" t="n">
        <x:v>1981</x:v>
      </x:c>
      <x:c r="B37" s="23" t="n">
        <x:v>29830</x:v>
      </x:c>
      <x:c r="C37" s="23" t="n">
        <x:v>29826</x:v>
      </x:c>
      <x:c r="D37" s="22" t="n">
        <x:v>0</x:v>
      </x:c>
      <x:c r="E37" s="22" t="n">
        <x:v>4</x:v>
      </x:c>
      <x:c r="F37" s="24" t="n">
        <x:v>21.84166666666667</x:v>
      </x:c>
      <x:c r="G37" s="24" t="n">
        <x:v>21.419791666666665</x:v>
      </x:c>
      <x:c r="H37" s="29" t="n">
        <x:f>G37-F37</x:f>
        <x:v>-0.42187500000000355</x:v>
      </x:c>
      <x:c r="I37" s="24" t="n">
        <x:v>28.2</x:v>
      </x:c>
      <x:c r="J37" s="24" t="n">
        <x:v>28.3</x:v>
      </x:c>
      <x:c r="K37" s="29" t="n">
        <x:f>J37-I37</x:f>
        <x:v>0.10000000000000142</x:v>
      </x:c>
      <x:c r="L37" s="24" t="n">
        <x:v>16.9</x:v>
      </x:c>
      <x:c r="M37" s="24" t="n">
        <x:v>14.3</x:v>
      </x:c>
      <x:c r="N37" s="29" t="n">
        <x:f>M37-L37</x:f>
        <x:v>-2.599999999999998</x:v>
      </x:c>
      <x:c r="O37" s="24" t="n">
        <x:v>22.98229166666667</x:v>
      </x:c>
      <x:c r="P37" s="24" t="n">
        <x:v>21.491666666666667</x:v>
      </x:c>
      <x:c r="Q37" s="29" t="n">
        <x:f>P37-O37</x:f>
        <x:v>-1.4906250000000014</x:v>
      </x:c>
    </x:row>
    <x:row r="38">
      <x:c r="A38" s="22" t="n">
        <x:v>1982</x:v>
      </x:c>
      <x:c r="B38" s="23" t="n">
        <x:v>30195</x:v>
      </x:c>
      <x:c r="C38" s="23" t="n">
        <x:v>30190</x:v>
      </x:c>
      <x:c r="D38" s="22" t="n">
        <x:v>0</x:v>
      </x:c>
      <x:c r="E38" s="22" t="n">
        <x:v>5</x:v>
      </x:c>
      <x:c r="F38" s="24" t="n">
        <x:v>18.14270833333333</x:v>
      </x:c>
      <x:c r="G38" s="24" t="n">
        <x:v>22.0375</x:v>
      </x:c>
      <x:c r="H38" s="29" t="n">
        <x:f>G38-F38</x:f>
        <x:v>3.89479166666667</x:v>
      </x:c>
      <x:c r="I38" s="24" t="n">
        <x:v>25.9</x:v>
      </x:c>
      <x:c r="J38" s="24" t="n">
        <x:v>29.1</x:v>
      </x:c>
      <x:c r="K38" s="29" t="n">
        <x:f>J38-I38</x:f>
        <x:v>3.200000000000003</x:v>
      </x:c>
      <x:c r="L38" s="24" t="n">
        <x:v>11.8</x:v>
      </x:c>
      <x:c r="M38" s="24" t="n">
        <x:v>16.4</x:v>
      </x:c>
      <x:c r="N38" s="29" t="n">
        <x:f>M38-L38</x:f>
        <x:v>4.599999999999998</x:v>
      </x:c>
      <x:c r="O38" s="24" t="n">
        <x:v>17.626041666666666</x:v>
      </x:c>
      <x:c r="P38" s="24" t="n">
        <x:v>22.977083333333333</x:v>
      </x:c>
      <x:c r="Q38" s="29" t="n">
        <x:f>P38-O38</x:f>
        <x:v>5.351041666666667</x:v>
      </x:c>
    </x:row>
    <x:row r="39">
      <x:c r="A39" s="22" t="n">
        <x:v>1983</x:v>
      </x:c>
      <x:c r="B39" s="23" t="n">
        <x:v>30560</x:v>
      </x:c>
      <x:c r="C39" s="23" t="n">
        <x:v>30554</x:v>
      </x:c>
      <x:c r="D39" s="22" t="n">
        <x:v>0</x:v>
      </x:c>
      <x:c r="E39" s="22" t="n">
        <x:v>6</x:v>
      </x:c>
      <x:c r="F39" s="24" t="n">
        <x:v>21.3125</x:v>
      </x:c>
      <x:c r="G39" s="24" t="n">
        <x:v>19.605208333333334</x:v>
      </x:c>
      <x:c r="H39" s="29" t="n">
        <x:f>G39-F39</x:f>
        <x:v>-1.7072916666666664</x:v>
      </x:c>
      <x:c r="I39" s="24" t="n">
        <x:v>27.6</x:v>
      </x:c>
      <x:c r="J39" s="24" t="n">
        <x:v>25.1</x:v>
      </x:c>
      <x:c r="K39" s="29" t="n">
        <x:f>J39-I39</x:f>
        <x:v>-2.5</x:v>
      </x:c>
      <x:c r="L39" s="24" t="n">
        <x:v>16.4</x:v>
      </x:c>
      <x:c r="M39" s="24" t="n">
        <x:v>15.4</x:v>
      </x:c>
      <x:c r="N39" s="29" t="n">
        <x:f>M39-L39</x:f>
        <x:v>-0.9999999999999982</x:v>
      </x:c>
      <x:c r="O39" s="24" t="n">
        <x:v>21.643749999999997</x:v>
      </x:c>
      <x:c r="P39" s="24" t="n">
        <x:v>20.776041666666668</x:v>
      </x:c>
      <x:c r="Q39" s="29" t="n">
        <x:f>P39-O39</x:f>
        <x:v>-0.8677083333333293</x:v>
      </x:c>
    </x:row>
    <x:row r="40">
      <x:c r="A40" s="22" t="n">
        <x:v>1984</x:v>
      </x:c>
      <x:c r="B40" s="23" t="n">
        <x:v>30926</x:v>
      </x:c>
      <x:c r="C40" s="23" t="n">
        <x:v>30925</x:v>
      </x:c>
      <x:c r="D40" s="22" t="n">
        <x:v>3</x:v>
      </x:c>
      <x:c r="E40" s="22" t="n">
        <x:v>1</x:v>
      </x:c>
      <x:c r="F40" s="24" t="n">
        <x:v>23.703125</x:v>
      </x:c>
      <x:c r="G40" s="24" t="n">
        <x:v>23.023958333333333</x:v>
      </x:c>
      <x:c r="H40" s="29" t="n">
        <x:f>G40-F40</x:f>
        <x:v>-0.6791666666666671</x:v>
      </x:c>
      <x:c r="I40" s="24" t="n">
        <x:v>32.1</x:v>
      </x:c>
      <x:c r="J40" s="24" t="n">
        <x:v>32.1</x:v>
      </x:c>
      <x:c r="K40" s="29" t="n">
        <x:f>J40-I40</x:f>
        <x:v>0</x:v>
      </x:c>
      <x:c r="L40" s="24" t="n">
        <x:v>16.6</x:v>
      </x:c>
      <x:c r="M40" s="24" t="n">
        <x:v>14.8</x:v>
      </x:c>
      <x:c r="N40" s="29" t="n">
        <x:f>M40-L40</x:f>
        <x:v>-1.8000000000000007</x:v>
      </x:c>
      <x:c r="O40" s="24" t="n">
        <x:v>23.26875</x:v>
      </x:c>
      <x:c r="P40" s="24" t="n">
        <x:v>22.73125</x:v>
      </x:c>
      <x:c r="Q40" s="29" t="n">
        <x:f>P40-O40</x:f>
        <x:v>-0.5375000000000014</x:v>
      </x:c>
    </x:row>
    <x:row r="41">
      <x:c r="A41" s="22" t="n">
        <x:v>1985</x:v>
      </x:c>
      <x:c r="B41" s="23" t="n">
        <x:v>31291</x:v>
      </x:c>
      <x:c r="C41" s="23" t="n">
        <x:v>31289</x:v>
      </x:c>
      <x:c r="D41" s="22" t="n">
        <x:v>2</x:v>
      </x:c>
      <x:c r="E41" s="22" t="n">
        <x:v>2</x:v>
      </x:c>
      <x:c r="F41" s="24" t="n">
        <x:v>24.579166666666666</x:v>
      </x:c>
      <x:c r="G41" s="24" t="n">
        <x:v>24.023958333333333</x:v>
      </x:c>
      <x:c r="H41" s="29" t="n">
        <x:f>G41-F41</x:f>
        <x:v>-0.5552083333333329</x:v>
      </x:c>
      <x:c r="I41" s="24" t="n">
        <x:v>34.1</x:v>
      </x:c>
      <x:c r="J41" s="24" t="n">
        <x:v>31.5</x:v>
      </x:c>
      <x:c r="K41" s="29" t="n">
        <x:f>J41-I41</x:f>
        <x:v>-2.6000000000000014</x:v>
      </x:c>
      <x:c r="L41" s="24" t="n">
        <x:v>18.1</x:v>
      </x:c>
      <x:c r="M41" s="24" t="n">
        <x:v>17.5</x:v>
      </x:c>
      <x:c r="N41" s="29" t="n">
        <x:f>M41-L41</x:f>
        <x:v>-0.6000000000000014</x:v>
      </x:c>
      <x:c r="O41" s="24" t="n">
        <x:v>25.383333333333333</x:v>
      </x:c>
      <x:c r="P41" s="24" t="n">
        <x:v>24.59791666666667</x:v>
      </x:c>
      <x:c r="Q41" s="29" t="n">
        <x:f>P41-O41</x:f>
        <x:v>-0.7854166666666629</x:v>
      </x:c>
    </x:row>
    <x:row r="42">
      <x:c r="A42" s="22" t="n">
        <x:v>1986</x:v>
      </x:c>
      <x:c r="B42" s="23" t="n">
        <x:v>31656</x:v>
      </x:c>
      <x:c r="C42" s="23" t="n">
        <x:v>31653</x:v>
      </x:c>
      <x:c r="D42" s="22" t="n">
        <x:v>1</x:v>
      </x:c>
      <x:c r="E42" s="22" t="n">
        <x:v>3</x:v>
      </x:c>
      <x:c r="F42" s="24" t="n">
        <x:v>21.388541666666665</x:v>
      </x:c>
      <x:c r="G42" s="24" t="n">
        <x:v>18.6125</x:v>
      </x:c>
      <x:c r="H42" s="29" t="n">
        <x:f>G42-F42</x:f>
        <x:v>-2.7760416666666643</x:v>
      </x:c>
      <x:c r="I42" s="24" t="n">
        <x:v>29.4</x:v>
      </x:c>
      <x:c r="J42" s="24" t="n">
        <x:v>25.6</x:v>
      </x:c>
      <x:c r="K42" s="29" t="n">
        <x:f>J42-I42</x:f>
        <x:v>-3.799999999999997</x:v>
      </x:c>
      <x:c r="L42" s="24" t="n">
        <x:v>15.5</x:v>
      </x:c>
      <x:c r="M42" s="24" t="n">
        <x:v>14.4</x:v>
      </x:c>
      <x:c r="N42" s="29" t="n">
        <x:f>M42-L42</x:f>
        <x:v>-1.0999999999999996</x:v>
      </x:c>
      <x:c r="O42" s="24" t="n">
        <x:v>21.78125</x:v>
      </x:c>
      <x:c r="P42" s="24" t="n">
        <x:v>18.31458333333333</x:v>
      </x:c>
      <x:c r="Q42" s="29" t="n">
        <x:f>P42-O42</x:f>
        <x:v>-3.4666666666666686</x:v>
      </x:c>
    </x:row>
    <x:row r="43">
      <x:c r="A43" s="22" t="n">
        <x:v>1987</x:v>
      </x:c>
      <x:c r="B43" s="23" t="n">
        <x:v>32021</x:v>
      </x:c>
      <x:c r="C43" s="23" t="n">
        <x:v>32017</x:v>
      </x:c>
      <x:c r="D43" s="22" t="n">
        <x:v>0</x:v>
      </x:c>
      <x:c r="E43" s="22" t="n">
        <x:v>4</x:v>
      </x:c>
      <x:c r="F43" s="24" t="n">
        <x:v>22.378124999999997</x:v>
      </x:c>
      <x:c r="G43" s="24" t="n">
        <x:v>20.823958333333334</x:v>
      </x:c>
      <x:c r="H43" s="29" t="n">
        <x:f>G43-F43</x:f>
        <x:v>-1.5541666666666636</x:v>
      </x:c>
      <x:c r="I43" s="24" t="n">
        <x:v>27.8</x:v>
      </x:c>
      <x:c r="J43" s="24" t="n">
        <x:v>27.8</x:v>
      </x:c>
      <x:c r="K43" s="29" t="n">
        <x:f>J43-I43</x:f>
        <x:v>0</x:v>
      </x:c>
      <x:c r="L43" s="24" t="n">
        <x:v>18</x:v>
      </x:c>
      <x:c r="M43" s="24" t="n">
        <x:v>17.4</x:v>
      </x:c>
      <x:c r="N43" s="29" t="n">
        <x:f>M43-L43</x:f>
        <x:v>-0.6000000000000014</x:v>
      </x:c>
      <x:c r="O43" s="24" t="n">
        <x:v>24.132291666666667</x:v>
      </x:c>
      <x:c r="P43" s="24" t="n">
        <x:v>21.351041666666667</x:v>
      </x:c>
      <x:c r="Q43" s="29" t="n">
        <x:f>P43-O43</x:f>
        <x:v>-2.78125</x:v>
      </x:c>
    </x:row>
    <x:row r="44">
      <x:c r="A44" s="22" t="n">
        <x:v>1988</x:v>
      </x:c>
      <x:c r="B44" s="23" t="n">
        <x:v>32387</x:v>
      </x:c>
      <x:c r="C44" s="23" t="n">
        <x:v>32381</x:v>
      </x:c>
      <x:c r="D44" s="22" t="n">
        <x:v>0</x:v>
      </x:c>
      <x:c r="E44" s="22" t="n">
        <x:v>6</x:v>
      </x:c>
      <x:c r="F44" s="24" t="n">
        <x:v>23.5</x:v>
      </x:c>
      <x:c r="G44" s="24" t="n">
        <x:v>25.123958333333334</x:v>
      </x:c>
      <x:c r="H44" s="29" t="n">
        <x:f>G44-F44</x:f>
        <x:v>1.6239583333333343</x:v>
      </x:c>
      <x:c r="I44" s="24" t="n">
        <x:v>31.3</x:v>
      </x:c>
      <x:c r="J44" s="24" t="n">
        <x:v>35.5</x:v>
      </x:c>
      <x:c r="K44" s="29" t="n">
        <x:f>J44-I44</x:f>
        <x:v>4.199999999999999</x:v>
      </x:c>
      <x:c r="L44" s="24" t="n">
        <x:v>16.5</x:v>
      </x:c>
      <x:c r="M44" s="24" t="n">
        <x:v>19.1</x:v>
      </x:c>
      <x:c r="N44" s="29" t="n">
        <x:f>M44-L44</x:f>
        <x:v>2.6000000000000014</x:v>
      </x:c>
      <x:c r="O44" s="24" t="n">
        <x:v>23.34375</x:v>
      </x:c>
      <x:c r="P44" s="24" t="n">
        <x:v>26.37291666666667</x:v>
      </x:c>
      <x:c r="Q44" s="29" t="n">
        <x:f>P44-O44</x:f>
        <x:v>3.0291666666666686</x:v>
      </x:c>
    </x:row>
    <x:row r="45">
      <x:c r="A45" s="22" t="n">
        <x:v>1989</x:v>
      </x:c>
      <x:c r="B45" s="23" t="n">
        <x:v>32752</x:v>
      </x:c>
      <x:c r="C45" s="23" t="n">
        <x:v>32745</x:v>
      </x:c>
      <x:c r="D45" s="22" t="n">
        <x:v>0</x:v>
      </x:c>
      <x:c r="E45" s="22" t="n">
        <x:v>7</x:v>
      </x:c>
      <x:c r="F45" s="24" t="n">
        <x:v>19.302083333333332</x:v>
      </x:c>
      <x:c r="G45" s="24" t="n">
        <x:v>24.880208333333336</x:v>
      </x:c>
      <x:c r="H45" s="29" t="n">
        <x:f>G45-F45</x:f>
        <x:v>5.5781250000000036</x:v>
      </x:c>
      <x:c r="I45" s="24" t="n">
        <x:v>24.2</x:v>
      </x:c>
      <x:c r="J45" s="24" t="n">
        <x:v>33.6</x:v>
      </x:c>
      <x:c r="K45" s="29" t="n">
        <x:f>J45-I45</x:f>
        <x:v>9.400000000000002</x:v>
      </x:c>
      <x:c r="L45" s="24" t="n">
        <x:v>15.2</x:v>
      </x:c>
      <x:c r="M45" s="24" t="n">
        <x:v>18.9</x:v>
      </x:c>
      <x:c r="N45" s="29" t="n">
        <x:f>M45-L45</x:f>
        <x:v>3.6999999999999993</x:v>
      </x:c>
      <x:c r="O45" s="24" t="n">
        <x:v>20.261458333333334</x:v>
      </x:c>
      <x:c r="P45" s="24" t="n">
        <x:v>26.229166666666664</x:v>
      </x:c>
      <x:c r="Q45" s="29" t="n">
        <x:f>P45-O45</x:f>
        <x:v>5.967708333333331</x:v>
      </x:c>
    </x:row>
    <x:row r="46">
      <x:c r="A46" s="22" t="n">
        <x:v>1990</x:v>
      </x:c>
      <x:c r="B46" s="23" t="n">
        <x:v>33117</x:v>
      </x:c>
      <x:c r="C46" s="23" t="n">
        <x:v>33116</x:v>
      </x:c>
      <x:c r="D46" s="22" t="n">
        <x:v>3</x:v>
      </x:c>
      <x:c r="E46" s="22" t="n">
        <x:v>1</x:v>
      </x:c>
      <x:c r="F46" s="24" t="n">
        <x:v>21.753124999999997</x:v>
      </x:c>
      <x:c r="G46" s="24" t="n">
        <x:v>21.15833333333333</x:v>
      </x:c>
      <x:c r="H46" s="29" t="n">
        <x:f>G46-F46</x:f>
        <x:v>-0.5947916666666657</x:v>
      </x:c>
      <x:c r="I46" s="24" t="n">
        <x:v>28.7</x:v>
      </x:c>
      <x:c r="J46" s="24" t="n">
        <x:v>27.2</x:v>
      </x:c>
      <x:c r="K46" s="29" t="n">
        <x:f>J46-I46</x:f>
        <x:v>-1.5</x:v>
      </x:c>
      <x:c r="L46" s="24" t="n">
        <x:v>16.4</x:v>
      </x:c>
      <x:c r="M46" s="24" t="n">
        <x:v>16.4</x:v>
      </x:c>
      <x:c r="N46" s="29" t="n">
        <x:f>M46-L46</x:f>
        <x:v>0</x:v>
      </x:c>
      <x:c r="O46" s="24" t="n">
        <x:v>23.164583333333333</x:v>
      </x:c>
      <x:c r="P46" s="24" t="n">
        <x:v>22.267708333333335</x:v>
      </x:c>
      <x:c r="Q46" s="29" t="n">
        <x:f>P46-O46</x:f>
        <x:v>-0.8968749999999979</x:v>
      </x:c>
    </x:row>
    <x:row r="47">
      <x:c r="A47" s="22" t="n">
        <x:v>1991</x:v>
      </x:c>
      <x:c r="B47" s="23" t="n">
        <x:v>33482</x:v>
      </x:c>
      <x:c r="C47" s="23" t="n">
        <x:v>33480</x:v>
      </x:c>
      <x:c r="D47" s="22" t="n">
        <x:v>2</x:v>
      </x:c>
      <x:c r="E47" s="22" t="n">
        <x:v>2</x:v>
      </x:c>
      <x:c r="F47" s="24" t="n">
        <x:v>23.278125</x:v>
      </x:c>
      <x:c r="G47" s="24" t="n">
        <x:v>25.35729166666667</x:v>
      </x:c>
      <x:c r="H47" s="29" t="n">
        <x:f>G47-F47</x:f>
        <x:v>2.0791666666666693</x:v>
      </x:c>
      <x:c r="I47" s="24" t="n">
        <x:v>30.5</x:v>
      </x:c>
      <x:c r="J47" s="24" t="n">
        <x:v>33.6</x:v>
      </x:c>
      <x:c r="K47" s="29" t="n">
        <x:f>J47-I47</x:f>
        <x:v>3.1000000000000014</x:v>
      </x:c>
      <x:c r="L47" s="24" t="n">
        <x:v>19.4</x:v>
      </x:c>
      <x:c r="M47" s="24" t="n">
        <x:v>19.5</x:v>
      </x:c>
      <x:c r="N47" s="29" t="n">
        <x:f>M47-L47</x:f>
        <x:v>0.10000000000000142</x:v>
      </x:c>
      <x:c r="O47" s="24" t="n">
        <x:v>24.329166666666666</x:v>
      </x:c>
      <x:c r="P47" s="24" t="n">
        <x:v>26.351041666666667</x:v>
      </x:c>
      <x:c r="Q47" s="29" t="n">
        <x:f>P47-O47</x:f>
        <x:v>2.0218750000000014</x:v>
      </x:c>
    </x:row>
    <x:row r="48">
      <x:c r="A48" s="22" t="n">
        <x:v>1992</x:v>
      </x:c>
      <x:c r="B48" s="23" t="n">
        <x:v>33848</x:v>
      </x:c>
      <x:c r="C48" s="23" t="n">
        <x:v>33844</x:v>
      </x:c>
      <x:c r="D48" s="22" t="n">
        <x:v>0</x:v>
      </x:c>
      <x:c r="E48" s="22" t="n">
        <x:v>4</x:v>
      </x:c>
      <x:c r="F48" s="24" t="n">
        <x:v>21.139583333333334</x:v>
      </x:c>
      <x:c r="G48" s="24" t="n">
        <x:v>22.821875</x:v>
      </x:c>
      <x:c r="H48" s="29" t="n">
        <x:f>G48-F48</x:f>
        <x:v>1.6822916666666643</x:v>
      </x:c>
      <x:c r="I48" s="24" t="n">
        <x:v>29.5</x:v>
      </x:c>
      <x:c r="J48" s="24" t="n">
        <x:v>32.9</x:v>
      </x:c>
      <x:c r="K48" s="29" t="n">
        <x:f>J48-I48</x:f>
        <x:v>3.3999999999999986</x:v>
      </x:c>
      <x:c r="L48" s="24" t="n">
        <x:v>15</x:v>
      </x:c>
      <x:c r="M48" s="24" t="n">
        <x:v>14.1</x:v>
      </x:c>
      <x:c r="N48" s="29" t="n">
        <x:f>M48-L48</x:f>
        <x:v>-0.9000000000000004</x:v>
      </x:c>
      <x:c r="O48" s="24" t="n">
        <x:v>21.304166666666667</x:v>
      </x:c>
      <x:c r="P48" s="24" t="n">
        <x:v>20.695833333333333</x:v>
      </x:c>
      <x:c r="Q48" s="29" t="n">
        <x:f>P48-O48</x:f>
        <x:v>-0.6083333333333343</x:v>
      </x:c>
    </x:row>
    <x:row r="49">
      <x:c r="A49" s="22" t="n">
        <x:v>1993</x:v>
      </x:c>
      <x:c r="B49" s="23" t="n">
        <x:v>34213</x:v>
      </x:c>
      <x:c r="C49" s="23" t="n">
        <x:v>34208</x:v>
      </x:c>
      <x:c r="D49" s="22" t="n">
        <x:v>0</x:v>
      </x:c>
      <x:c r="E49" s="22" t="n">
        <x:v>5</x:v>
      </x:c>
      <x:c r="F49" s="24" t="n">
        <x:v>22.209375</x:v>
      </x:c>
      <x:c r="G49" s="24" t="n">
        <x:v>18.866666666666667</x:v>
      </x:c>
      <x:c r="H49" s="29" t="n">
        <x:f>G49-F49</x:f>
        <x:v>-3.3427083333333343</x:v>
      </x:c>
      <x:c r="I49" s="24" t="n">
        <x:v>30.8</x:v>
      </x:c>
      <x:c r="J49" s="24" t="n">
        <x:v>25</x:v>
      </x:c>
      <x:c r="K49" s="29" t="n">
        <x:f>J49-I49</x:f>
        <x:v>-5.800000000000001</x:v>
      </x:c>
      <x:c r="L49" s="24" t="n">
        <x:v>14.7</x:v>
      </x:c>
      <x:c r="M49" s="24" t="n">
        <x:v>14</x:v>
      </x:c>
      <x:c r="N49" s="29" t="n">
        <x:f>M49-L49</x:f>
        <x:v>-0.6999999999999993</x:v>
      </x:c>
      <x:c r="O49" s="24" t="n">
        <x:v>22.265625</x:v>
      </x:c>
      <x:c r="P49" s="24" t="n">
        <x:v>17.418750000000003</x:v>
      </x:c>
      <x:c r="Q49" s="29" t="n">
        <x:f>P49-O49</x:f>
        <x:v>-4.846874999999997</x:v>
      </x:c>
    </x:row>
    <x:row r="50">
      <x:c r="A50" s="22" t="n">
        <x:v>1994</x:v>
      </x:c>
      <x:c r="B50" s="23" t="n">
        <x:v>34578</x:v>
      </x:c>
      <x:c r="C50" s="23" t="n">
        <x:v>34572</x:v>
      </x:c>
      <x:c r="D50" s="22" t="n">
        <x:v>0</x:v>
      </x:c>
      <x:c r="E50" s="22" t="n">
        <x:v>6</x:v>
      </x:c>
      <x:c r="F50" s="24" t="n">
        <x:v>22.716666666666665</x:v>
      </x:c>
      <x:c r="G50" s="24" t="n">
        <x:v>25.92291666666667</x:v>
      </x:c>
      <x:c r="H50" s="29" t="n">
        <x:f>G50-F50</x:f>
        <x:v>3.2062500000000043</x:v>
      </x:c>
      <x:c r="I50" s="24" t="n">
        <x:v>28.5</x:v>
      </x:c>
      <x:c r="J50" s="24" t="n">
        <x:v>34.6</x:v>
      </x:c>
      <x:c r="K50" s="29" t="n">
        <x:f>J50-I50</x:f>
        <x:v>6.100000000000001</x:v>
      </x:c>
      <x:c r="L50" s="24" t="n">
        <x:v>17.1</x:v>
      </x:c>
      <x:c r="M50" s="24" t="n">
        <x:v>19.4</x:v>
      </x:c>
      <x:c r="N50" s="29" t="n">
        <x:f>M50-L50</x:f>
        <x:v>2.299999999999997</x:v>
      </x:c>
      <x:c r="O50" s="24" t="n">
        <x:v>23.5875</x:v>
      </x:c>
      <x:c r="P50" s="24" t="n">
        <x:v>26.54895833333333</x:v>
      </x:c>
      <x:c r="Q50" s="29" t="n">
        <x:f>P50-O50</x:f>
        <x:v>2.961458333333333</x:v>
      </x:c>
    </x:row>
    <x:row r="51">
      <x:c r="A51" s="22" t="n">
        <x:v>1995</x:v>
      </x:c>
      <x:c r="B51" s="23" t="n">
        <x:v>34943</x:v>
      </x:c>
      <x:c r="C51" s="23" t="n">
        <x:v>34936</x:v>
      </x:c>
      <x:c r="D51" s="22" t="n">
        <x:v>0</x:v>
      </x:c>
      <x:c r="E51" s="22" t="n">
        <x:v>7</x:v>
      </x:c>
      <x:c r="F51" s="24" t="n">
        <x:v>22.964583333333334</x:v>
      </x:c>
      <x:c r="G51" s="24" t="n">
        <x:v>21.985416666666666</x:v>
      </x:c>
      <x:c r="H51" s="29" t="n">
        <x:f>G51-F51</x:f>
        <x:v>-0.9791666666666679</x:v>
      </x:c>
      <x:c r="I51" s="24" t="n">
        <x:v>30</x:v>
      </x:c>
      <x:c r="J51" s="24" t="n">
        <x:v>31.1</x:v>
      </x:c>
      <x:c r="K51" s="29" t="n">
        <x:f>J51-I51</x:f>
        <x:v>1.1000000000000014</x:v>
      </x:c>
      <x:c r="L51" s="24" t="n">
        <x:v>16.4</x:v>
      </x:c>
      <x:c r="M51" s="24" t="n">
        <x:v>15.5</x:v>
      </x:c>
      <x:c r="N51" s="29" t="n">
        <x:f>M51-L51</x:f>
        <x:v>-0.8999999999999986</x:v>
      </x:c>
      <x:c r="O51" s="24" t="n">
        <x:v>22.967708333333334</x:v>
      </x:c>
      <x:c r="P51" s="24" t="n">
        <x:v>22.869791666666668</x:v>
      </x:c>
      <x:c r="Q51" s="29" t="n">
        <x:f>P51-O51</x:f>
        <x:v>-0.09791666666666643</x:v>
      </x:c>
    </x:row>
    <x:row r="52">
      <x:c r="A52" s="22" t="n">
        <x:v>1996</x:v>
      </x:c>
      <x:c r="B52" s="23" t="n">
        <x:v>35309</x:v>
      </x:c>
      <x:c r="C52" s="23" t="n">
        <x:v>35307</x:v>
      </x:c>
      <x:c r="D52" s="22" t="n">
        <x:v>2</x:v>
      </x:c>
      <x:c r="E52" s="22" t="n">
        <x:v>2</x:v>
      </x:c>
      <x:c r="F52" s="24" t="n">
        <x:v>17.565625</x:v>
      </x:c>
      <x:c r="G52" s="24" t="n">
        <x:v>17.710416666666667</x:v>
      </x:c>
      <x:c r="H52" s="29" t="n">
        <x:f>G52-F52</x:f>
        <x:v>0.14479166666666643</x:v>
      </x:c>
      <x:c r="I52" s="24" t="n">
        <x:v>23.9</x:v>
      </x:c>
      <x:c r="J52" s="24" t="n">
        <x:v>23.9</x:v>
      </x:c>
      <x:c r="K52" s="29" t="n">
        <x:f>J52-I52</x:f>
        <x:v>0</x:v>
      </x:c>
      <x:c r="L52" s="24" t="n">
        <x:v>13.8</x:v>
      </x:c>
      <x:c r="M52" s="24" t="n">
        <x:v>12.1</x:v>
      </x:c>
      <x:c r="N52" s="29" t="n">
        <x:f>M52-L52</x:f>
        <x:v>-1.700000000000001</x:v>
      </x:c>
      <x:c r="O52" s="24" t="n">
        <x:v>17.275</x:v>
      </x:c>
      <x:c r="P52" s="24" t="n">
        <x:v>16.965625</x:v>
      </x:c>
      <x:c r="Q52" s="29" t="n">
        <x:f>P52-O52</x:f>
        <x:v>-0.3093749999999993</x:v>
      </x:c>
    </x:row>
    <x:row r="53">
      <x:c r="A53" s="22" t="n">
        <x:v>1997</x:v>
      </x:c>
      <x:c r="B53" s="23" t="n">
        <x:v>35674</x:v>
      </x:c>
      <x:c r="C53" s="23" t="n">
        <x:v>35671</x:v>
      </x:c>
      <x:c r="D53" s="22" t="n">
        <x:v>1</x:v>
      </x:c>
      <x:c r="E53" s="22" t="n">
        <x:v>3</x:v>
      </x:c>
      <x:c r="F53" s="24" t="n">
        <x:v>21.672916666666666</x:v>
      </x:c>
      <x:c r="G53" s="24" t="n">
        <x:v>21.303125</x:v>
      </x:c>
      <x:c r="H53" s="29" t="n">
        <x:f>G53-F53</x:f>
        <x:v>-0.3697916666666643</x:v>
      </x:c>
      <x:c r="I53" s="24" t="n">
        <x:v>28.3</x:v>
      </x:c>
      <x:c r="J53" s="24" t="n">
        <x:v>30.7</x:v>
      </x:c>
      <x:c r="K53" s="29" t="n">
        <x:f>J53-I53</x:f>
        <x:v>2.3999999999999986</x:v>
      </x:c>
      <x:c r="L53" s="24" t="n">
        <x:v>15.4</x:v>
      </x:c>
      <x:c r="M53" s="24" t="n">
        <x:v>13.6</x:v>
      </x:c>
      <x:c r="N53" s="29" t="n">
        <x:f>M53-L53</x:f>
        <x:v>-1.8000000000000007</x:v>
      </x:c>
      <x:c r="O53" s="24" t="n">
        <x:v>22.566666666666666</x:v>
      </x:c>
      <x:c r="P53" s="24" t="n">
        <x:v>20.586458333333333</x:v>
      </x:c>
      <x:c r="Q53" s="29" t="n">
        <x:f>P53-O53</x:f>
        <x:v>-1.9802083333333336</x:v>
      </x:c>
    </x:row>
    <x:row r="54">
      <x:c r="A54" s="22" t="n">
        <x:v>1998</x:v>
      </x:c>
      <x:c r="B54" s="23" t="n">
        <x:v>36039</x:v>
      </x:c>
      <x:c r="C54" s="23" t="n">
        <x:v>36035</x:v>
      </x:c>
      <x:c r="D54" s="22" t="n">
        <x:v>0</x:v>
      </x:c>
      <x:c r="E54" s="22" t="n">
        <x:v>4</x:v>
      </x:c>
      <x:c r="F54" s="24" t="n">
        <x:v>25.26770833333333</x:v>
      </x:c>
      <x:c r="G54" s="24" t="n">
        <x:v>22.9625</x:v>
      </x:c>
      <x:c r="H54" s="29" t="n">
        <x:f>G54-F54</x:f>
        <x:v>-2.305208333333333</x:v>
      </x:c>
      <x:c r="I54" s="24" t="n">
        <x:v>32.9</x:v>
      </x:c>
      <x:c r="J54" s="24" t="n">
        <x:v>29.3</x:v>
      </x:c>
      <x:c r="K54" s="29" t="n">
        <x:f>J54-I54</x:f>
        <x:v>-3.599999999999998</x:v>
      </x:c>
      <x:c r="L54" s="24" t="n">
        <x:v>18.6</x:v>
      </x:c>
      <x:c r="M54" s="24" t="n">
        <x:v>18.1</x:v>
      </x:c>
      <x:c r="N54" s="29" t="n">
        <x:f>M54-L54</x:f>
        <x:v>-0.5</x:v>
      </x:c>
      <x:c r="O54" s="24" t="n">
        <x:v>26.446875</x:v>
      </x:c>
      <x:c r="P54" s="24" t="n">
        <x:v>24.405208333333334</x:v>
      </x:c>
      <x:c r="Q54" s="29" t="n">
        <x:f>P54-O54</x:f>
        <x:v>-2.0416666666666643</x:v>
      </x:c>
    </x:row>
    <x:row r="55">
      <x:c r="A55" s="22" t="n">
        <x:v>1999</x:v>
      </x:c>
      <x:c r="B55" s="23" t="n">
        <x:v>36404</x:v>
      </x:c>
      <x:c r="C55" s="23" t="n">
        <x:v>36399</x:v>
      </x:c>
      <x:c r="D55" s="22" t="n">
        <x:v>0</x:v>
      </x:c>
      <x:c r="E55" s="22" t="n">
        <x:v>5</x:v>
      </x:c>
      <x:c r="F55" s="24" t="n">
        <x:v>24.186458333333334</x:v>
      </x:c>
      <x:c r="G55" s="24" t="n">
        <x:v>25.44375</x:v>
      </x:c>
      <x:c r="H55" s="29" t="n">
        <x:f>G55-F55</x:f>
        <x:v>1.2572916666666671</x:v>
      </x:c>
      <x:c r="I55" s="24" t="n">
        <x:v>32.6</x:v>
      </x:c>
      <x:c r="J55" s="24" t="n">
        <x:v>34</x:v>
      </x:c>
      <x:c r="K55" s="29" t="n">
        <x:f>J55-I55</x:f>
        <x:v>1.3999999999999986</x:v>
      </x:c>
      <x:c r="L55" s="24" t="n">
        <x:v>19.4</x:v>
      </x:c>
      <x:c r="M55" s="24" t="n">
        <x:v>19.3</x:v>
      </x:c>
      <x:c r="N55" s="29" t="n">
        <x:f>M55-L55</x:f>
        <x:v>-0.09999999999999787</x:v>
      </x:c>
      <x:c r="O55" s="24" t="n">
        <x:v>24.98645833333333</x:v>
      </x:c>
      <x:c r="P55" s="24" t="n">
        <x:v>26.901041666666668</x:v>
      </x:c>
      <x:c r="Q55" s="29" t="n">
        <x:f>P55-O55</x:f>
        <x:v>1.9145833333333364</x:v>
      </x:c>
    </x:row>
    <x:row r="56">
      <x:c r="A56" s="22" t="n">
        <x:v>2000</x:v>
      </x:c>
      <x:c r="B56" s="23" t="n">
        <x:v>36770</x:v>
      </x:c>
      <x:c r="C56" s="23" t="n">
        <x:v>36763</x:v>
      </x:c>
      <x:c r="D56" s="22" t="n">
        <x:v>0</x:v>
      </x:c>
      <x:c r="E56" s="22" t="n">
        <x:v>7</x:v>
      </x:c>
      <x:c r="F56" s="24" t="n">
        <x:v>22.592708333333334</x:v>
      </x:c>
      <x:c r="G56" s="24" t="n">
        <x:v>24.681250000000002</x:v>
      </x:c>
      <x:c r="H56" s="29" t="n">
        <x:f>G56-F56</x:f>
        <x:v>2.088541666666668</x:v>
      </x:c>
      <x:c r="I56" s="24" t="n">
        <x:v>30</x:v>
      </x:c>
      <x:c r="J56" s="24" t="n">
        <x:v>32.9</x:v>
      </x:c>
      <x:c r="K56" s="29" t="n">
        <x:f>J56-I56</x:f>
        <x:v>2.8999999999999986</x:v>
      </x:c>
      <x:c r="L56" s="24" t="n">
        <x:v>13.4</x:v>
      </x:c>
      <x:c r="M56" s="24" t="n">
        <x:v>17.3</x:v>
      </x:c>
      <x:c r="N56" s="29" t="n">
        <x:f>M56-L56</x:f>
        <x:v>3.9000000000000004</x:v>
      </x:c>
      <x:c r="O56" s="24" t="n">
        <x:v>24.3</x:v>
      </x:c>
      <x:c r="P56" s="24" t="n">
        <x:v>24.5375</x:v>
      </x:c>
      <x:c r="Q56" s="29" t="n">
        <x:f>P56-O56</x:f>
        <x:v>0.2375000000000007</x:v>
      </x:c>
    </x:row>
    <x:row r="57">
      <x:c r="A57" s="22" t="n">
        <x:v>2001</x:v>
      </x:c>
      <x:c r="B57" s="23" t="n">
        <x:v>37135</x:v>
      </x:c>
      <x:c r="C57" s="23" t="n">
        <x:v>37134</x:v>
      </x:c>
      <x:c r="D57" s="22" t="n">
        <x:v>3</x:v>
      </x:c>
      <x:c r="E57" s="22" t="n">
        <x:v>1</x:v>
      </x:c>
      <x:c r="F57" s="24" t="n">
        <x:v>21.646875</x:v>
      </x:c>
      <x:c r="G57" s="24" t="n">
        <x:v>21.447916666666668</x:v>
      </x:c>
      <x:c r="H57" s="29" t="n">
        <x:f>G57-F57</x:f>
        <x:v>-0.19895833333333357</x:v>
      </x:c>
      <x:c r="I57" s="24" t="n">
        <x:v>30.7</x:v>
      </x:c>
      <x:c r="J57" s="24" t="n">
        <x:v>26.9</x:v>
      </x:c>
      <x:c r="K57" s="29" t="n">
        <x:f>J57-I57</x:f>
        <x:v>-3.8000000000000007</x:v>
      </x:c>
      <x:c r="L57" s="24" t="n">
        <x:v>16.1</x:v>
      </x:c>
      <x:c r="M57" s="24" t="n">
        <x:v>16.1</x:v>
      </x:c>
      <x:c r="N57" s="29" t="n">
        <x:f>M57-L57</x:f>
        <x:v>0</x:v>
      </x:c>
      <x:c r="O57" s="24" t="n">
        <x:v>22.515625</x:v>
      </x:c>
      <x:c r="P57" s="24" t="n">
        <x:v>22.292708333333334</x:v>
      </x:c>
      <x:c r="Q57" s="29" t="n">
        <x:f>P57-O57</x:f>
        <x:v>-0.22291666666666643</x:v>
      </x:c>
    </x:row>
    <x:row r="58">
      <x:c r="A58" s="22" t="n">
        <x:v>2002</x:v>
      </x:c>
      <x:c r="B58" s="23" t="n">
        <x:v>37500</x:v>
      </x:c>
      <x:c r="C58" s="23" t="n">
        <x:v>37498</x:v>
      </x:c>
      <x:c r="D58" s="22" t="n">
        <x:v>2</x:v>
      </x:c>
      <x:c r="E58" s="22" t="n">
        <x:v>2</x:v>
      </x:c>
      <x:c r="F58" s="24" t="n">
        <x:v>21.72083333333333</x:v>
      </x:c>
      <x:c r="G58" s="24" t="n">
        <x:v>21.291666666666668</x:v>
      </x:c>
      <x:c r="H58" s="29" t="n">
        <x:f>G58-F58</x:f>
        <x:v>-0.4291666666666636</x:v>
      </x:c>
      <x:c r="I58" s="24" t="n">
        <x:v>28.5</x:v>
      </x:c>
      <x:c r="J58" s="24" t="n">
        <x:v>28.3</x:v>
      </x:c>
      <x:c r="K58" s="29" t="n">
        <x:f>J58-I58</x:f>
        <x:v>-0.1999999999999993</x:v>
      </x:c>
      <x:c r="L58" s="24" t="n">
        <x:v>15.8</x:v>
      </x:c>
      <x:c r="M58" s="24" t="n">
        <x:v>15.7</x:v>
      </x:c>
      <x:c r="N58" s="29" t="n">
        <x:f>M58-L58</x:f>
        <x:v>-0.10000000000000142</x:v>
      </x:c>
      <x:c r="O58" s="24" t="n">
        <x:v>22.258333333333333</x:v>
      </x:c>
      <x:c r="P58" s="24" t="n">
        <x:v>22.16979166666667</x:v>
      </x:c>
      <x:c r="Q58" s="29" t="n">
        <x:f>P58-O58</x:f>
        <x:v>-0.0885416666666643</x:v>
      </x:c>
    </x:row>
    <x:row r="59">
      <x:c r="A59" s="22" t="n">
        <x:v>2003</x:v>
      </x:c>
      <x:c r="B59" s="23" t="n">
        <x:v>37865</x:v>
      </x:c>
      <x:c r="C59" s="23" t="n">
        <x:v>37862</x:v>
      </x:c>
      <x:c r="D59" s="22" t="n">
        <x:v>1</x:v>
      </x:c>
      <x:c r="E59" s="22" t="n">
        <x:v>3</x:v>
      </x:c>
      <x:c r="F59" s="24" t="n">
        <x:v>21.919791666666665</x:v>
      </x:c>
      <x:c r="G59" s="24" t="n">
        <x:v>24.339583333333334</x:v>
      </x:c>
      <x:c r="H59" s="29" t="n">
        <x:f>G59-F59</x:f>
        <x:v>2.4197916666666686</x:v>
      </x:c>
      <x:c r="I59" s="24" t="n">
        <x:v>30.9</x:v>
      </x:c>
      <x:c r="J59" s="24" t="n">
        <x:v>31.8</x:v>
      </x:c>
      <x:c r="K59" s="29" t="n">
        <x:f>J59-I59</x:f>
        <x:v>0.9000000000000021</x:v>
      </x:c>
      <x:c r="L59" s="24" t="n">
        <x:v>17.4</x:v>
      </x:c>
      <x:c r="M59" s="24" t="n">
        <x:v>17.7</x:v>
      </x:c>
      <x:c r="N59" s="29" t="n">
        <x:f>M59-L59</x:f>
        <x:v>0.3000000000000007</x:v>
      </x:c>
      <x:c r="O59" s="24" t="n">
        <x:v>23.266666666666666</x:v>
      </x:c>
      <x:c r="P59" s="24" t="n">
        <x:v>23.96458333333333</x:v>
      </x:c>
      <x:c r="Q59" s="29" t="n">
        <x:f>P59-O59</x:f>
        <x:v>0.6979166666666643</x:v>
      </x:c>
    </x:row>
    <x:row r="60">
      <x:c r="A60" s="22" t="n">
        <x:v>2004</x:v>
      </x:c>
      <x:c r="B60" s="23" t="n">
        <x:v>38231</x:v>
      </x:c>
      <x:c r="C60" s="23" t="n">
        <x:v>38226</x:v>
      </x:c>
      <x:c r="D60" s="22" t="n">
        <x:v>0</x:v>
      </x:c>
      <x:c r="E60" s="22" t="n">
        <x:v>5</x:v>
      </x:c>
      <x:c r="F60" s="24" t="n">
        <x:v>21.711458333333333</x:v>
      </x:c>
      <x:c r="G60" s="24" t="n">
        <x:v>22.496875</x:v>
      </x:c>
      <x:c r="H60" s="29" t="n">
        <x:f>G60-F60</x:f>
        <x:v>0.7854166666666664</x:v>
      </x:c>
      <x:c r="I60" s="24" t="n">
        <x:v>27.6</x:v>
      </x:c>
      <x:c r="J60" s="24" t="n">
        <x:v>28.4</x:v>
      </x:c>
      <x:c r="K60" s="29" t="n">
        <x:f>J60-I60</x:f>
        <x:v>0.7999999999999972</x:v>
      </x:c>
      <x:c r="L60" s="24" t="n">
        <x:v>16.9</x:v>
      </x:c>
      <x:c r="M60" s="24" t="n">
        <x:v>18.4</x:v>
      </x:c>
      <x:c r="N60" s="29" t="n">
        <x:f>M60-L60</x:f>
        <x:v>1.5</x:v>
      </x:c>
      <x:c r="O60" s="24" t="n">
        <x:v>22.915625</x:v>
      </x:c>
      <x:c r="P60" s="24" t="n">
        <x:v>24.452083333333334</x:v>
      </x:c>
      <x:c r="Q60" s="29" t="n">
        <x:f>P60-O60</x:f>
        <x:v>1.5364583333333357</x:v>
      </x:c>
    </x:row>
    <x:row r="61">
      <x:c r="A61" s="22" t="n">
        <x:v>2005</x:v>
      </x:c>
      <x:c r="B61" s="23" t="n">
        <x:v>38596</x:v>
      </x:c>
      <x:c r="C61" s="23" t="n">
        <x:v>38590</x:v>
      </x:c>
      <x:c r="D61" s="22" t="n">
        <x:v>0</x:v>
      </x:c>
      <x:c r="E61" s="22" t="n">
        <x:v>6</x:v>
      </x:c>
      <x:c r="F61" s="24" t="n">
        <x:v>23.361458333333335</x:v>
      </x:c>
      <x:c r="G61" s="24" t="n">
        <x:v>23.546875</x:v>
      </x:c>
      <x:c r="H61" s="29" t="n">
        <x:f>G61-F61</x:f>
        <x:v>0.185416666666665</x:v>
      </x:c>
      <x:c r="I61" s="24" t="n">
        <x:v>32</x:v>
      </x:c>
      <x:c r="J61" s="24" t="n">
        <x:v>32.2</x:v>
      </x:c>
      <x:c r="K61" s="29" t="n">
        <x:f>J61-I61</x:f>
        <x:v>0.20000000000000284</x:v>
      </x:c>
      <x:c r="L61" s="24" t="n">
        <x:v>17</x:v>
      </x:c>
      <x:c r="M61" s="24" t="n">
        <x:v>18.4</x:v>
      </x:c>
      <x:c r="N61" s="29" t="n">
        <x:f>M61-L61</x:f>
        <x:v>1.3999999999999986</x:v>
      </x:c>
      <x:c r="O61" s="24" t="n">
        <x:v>23.998958333333334</x:v>
      </x:c>
      <x:c r="P61" s="24" t="n">
        <x:v>24.869791666666668</x:v>
      </x:c>
      <x:c r="Q61" s="29" t="n">
        <x:f>P61-O61</x:f>
        <x:v>0.8708333333333336</x:v>
      </x:c>
    </x:row>
    <x:row r="62">
      <x:c r="A62" s="22" t="n">
        <x:v>2006</x:v>
      </x:c>
      <x:c r="B62" s="23" t="n">
        <x:v>38961</x:v>
      </x:c>
      <x:c r="C62" s="23" t="n">
        <x:v>38954</x:v>
      </x:c>
      <x:c r="D62" s="22" t="n">
        <x:v>0</x:v>
      </x:c>
      <x:c r="E62" s="22" t="n">
        <x:v>7</x:v>
      </x:c>
      <x:c r="F62" s="24" t="n">
        <x:v>24.019791666666666</x:v>
      </x:c>
      <x:c r="G62" s="24" t="n">
        <x:v>23.1375</x:v>
      </x:c>
      <x:c r="H62" s="29" t="n">
        <x:f>G62-F62</x:f>
        <x:v>-0.8822916666666671</x:v>
      </x:c>
      <x:c r="I62" s="24" t="n">
        <x:v>31.5</x:v>
      </x:c>
      <x:c r="J62" s="24" t="n">
        <x:v>32.2</x:v>
      </x:c>
      <x:c r="K62" s="29" t="n">
        <x:f>J62-I62</x:f>
        <x:v>0.7000000000000028</x:v>
      </x:c>
      <x:c r="L62" s="24" t="n">
        <x:v>18</x:v>
      </x:c>
      <x:c r="M62" s="24" t="n">
        <x:v>17.4</x:v>
      </x:c>
      <x:c r="N62" s="29" t="n">
        <x:f>M62-L62</x:f>
        <x:v>-0.6000000000000014</x:v>
      </x:c>
      <x:c r="O62" s="24" t="n">
        <x:v>25.383333333333333</x:v>
      </x:c>
      <x:c r="P62" s="24" t="n">
        <x:v>23.9875</x:v>
      </x:c>
      <x:c r="Q62" s="29" t="n">
        <x:f>P62-O62</x:f>
        <x:v>-1.3958333333333321</x:v>
      </x:c>
    </x:row>
    <x:row r="63">
      <x:c r="A63" s="22" t="n">
        <x:v>2007</x:v>
      </x:c>
      <x:c r="B63" s="23" t="n">
        <x:v>39326</x:v>
      </x:c>
      <x:c r="C63" s="23" t="n">
        <x:v>39325</x:v>
      </x:c>
      <x:c r="D63" s="22" t="n">
        <x:v>3</x:v>
      </x:c>
      <x:c r="E63" s="22" t="n">
        <x:v>1</x:v>
      </x:c>
      <x:c r="F63" s="24" t="n">
        <x:v>20.723958333333336</x:v>
      </x:c>
      <x:c r="G63" s="24" t="n">
        <x:v>20.428125</x:v>
      </x:c>
      <x:c r="H63" s="29" t="n">
        <x:f>G63-F63</x:f>
        <x:v>-0.2958333333333343</x:v>
      </x:c>
      <x:c r="I63" s="24" t="n">
        <x:v>28.3</x:v>
      </x:c>
      <x:c r="J63" s="24" t="n">
        <x:v>27.5</x:v>
      </x:c>
      <x:c r="K63" s="29" t="n">
        <x:f>J63-I63</x:f>
        <x:v>-0.8000000000000007</x:v>
      </x:c>
      <x:c r="L63" s="24" t="n">
        <x:v>14.1</x:v>
      </x:c>
      <x:c r="M63" s="24" t="n">
        <x:v>14.1</x:v>
      </x:c>
      <x:c r="N63" s="29" t="n">
        <x:f>M63-L63</x:f>
        <x:v>0</x:v>
      </x:c>
      <x:c r="O63" s="24" t="n">
        <x:v>20.908333333333335</x:v>
      </x:c>
      <x:c r="P63" s="24" t="n">
        <x:v>20.960416666666667</x:v>
      </x:c>
      <x:c r="Q63" s="29" t="n">
        <x:f>P63-O63</x:f>
        <x:v>0.05208333333333215</x:v>
      </x:c>
    </x:row>
    <x:row r="64">
      <x:c r="A64" s="22" t="n">
        <x:v>2008</x:v>
      </x:c>
      <x:c r="B64" s="23" t="n">
        <x:v>39692</x:v>
      </x:c>
      <x:c r="C64" s="23" t="n">
        <x:v>39689</x:v>
      </x:c>
      <x:c r="D64" s="22" t="n">
        <x:v>1</x:v>
      </x:c>
      <x:c r="E64" s="22" t="n">
        <x:v>3</x:v>
      </x:c>
      <x:c r="F64" s="24" t="n">
        <x:v>23.584375</x:v>
      </x:c>
      <x:c r="G64" s="24" t="n">
        <x:v>23.00625</x:v>
      </x:c>
      <x:c r="H64" s="29" t="n">
        <x:f>G64-F64</x:f>
        <x:v>-0.578125</x:v>
      </x:c>
      <x:c r="I64" s="24" t="n">
        <x:v>31.9</x:v>
      </x:c>
      <x:c r="J64" s="24" t="n">
        <x:v>31.5</x:v>
      </x:c>
      <x:c r="K64" s="29" t="n">
        <x:f>J64-I64</x:f>
        <x:v>-0.3999999999999986</x:v>
      </x:c>
      <x:c r="L64" s="24" t="n">
        <x:v>16.4</x:v>
      </x:c>
      <x:c r="M64" s="24" t="n">
        <x:v>17.2</x:v>
      </x:c>
      <x:c r="N64" s="29" t="n">
        <x:f>M64-L64</x:f>
        <x:v>0.8000000000000007</x:v>
      </x:c>
      <x:c r="O64" s="24" t="n">
        <x:v>23.633333333333333</x:v>
      </x:c>
      <x:c r="P64" s="24" t="n">
        <x:v>23.5625</x:v>
      </x:c>
      <x:c r="Q64" s="29" t="n">
        <x:f>P64-O64</x:f>
        <x:v>-0.07083333333333286</x:v>
      </x:c>
    </x:row>
    <x:row r="65">
      <x:c r="A65" s="22" t="n">
        <x:v>2009</x:v>
      </x:c>
      <x:c r="B65" s="23" t="n">
        <x:v>40057</x:v>
      </x:c>
      <x:c r="C65" s="23" t="n">
        <x:v>40053</x:v>
      </x:c>
      <x:c r="D65" s="22" t="n">
        <x:v>0</x:v>
      </x:c>
      <x:c r="E65" s="22" t="n">
        <x:v>4</x:v>
      </x:c>
      <x:c r="F65" s="24" t="n">
        <x:v>25.671875</x:v>
      </x:c>
      <x:c r="G65" s="24" t="n">
        <x:v>24.305208333333333</x:v>
      </x:c>
      <x:c r="H65" s="29" t="n">
        <x:f>G65-F65</x:f>
        <x:v>-1.3666666666666671</x:v>
      </x:c>
      <x:c r="I65" s="24" t="n">
        <x:v>34.7</x:v>
      </x:c>
      <x:c r="J65" s="24" t="n">
        <x:v>31.8</x:v>
      </x:c>
      <x:c r="K65" s="29" t="n">
        <x:f>J65-I65</x:f>
        <x:v>-2.900000000000002</x:v>
      </x:c>
      <x:c r="L65" s="24" t="n">
        <x:v>19.4</x:v>
      </x:c>
      <x:c r="M65" s="24" t="n">
        <x:v>18.8</x:v>
      </x:c>
      <x:c r="N65" s="29" t="n">
        <x:f>M65-L65</x:f>
        <x:v>-0.5999999999999979</x:v>
      </x:c>
      <x:c r="O65" s="24" t="n">
        <x:v>26.182291666666664</x:v>
      </x:c>
      <x:c r="P65" s="24" t="n">
        <x:v>26.188541666666666</x:v>
      </x:c>
      <x:c r="Q65" s="29" t="n">
        <x:f>P65-O65</x:f>
        <x:v>0.006250000000001421</x:v>
      </x:c>
    </x:row>
    <x:row r="66">
      <x:c r="A66" s="22" t="n">
        <x:v>2010</x:v>
      </x:c>
      <x:c r="B66" s="23" t="n">
        <x:v>40422</x:v>
      </x:c>
      <x:c r="C66" s="23" t="n">
        <x:v>40417</x:v>
      </x:c>
      <x:c r="D66" s="22" t="n">
        <x:v>0</x:v>
      </x:c>
      <x:c r="E66" s="22" t="n">
        <x:v>5</x:v>
      </x:c>
      <x:c r="F66" s="24" t="n">
        <x:v>21.469791666666666</x:v>
      </x:c>
      <x:c r="G66" s="24" t="n">
        <x:v>25.688541666666666</x:v>
      </x:c>
      <x:c r="H66" s="29" t="n">
        <x:f>G66-F66</x:f>
        <x:v>4.21875</x:v>
      </x:c>
      <x:c r="I66" s="24" t="n">
        <x:v>29.7</x:v>
      </x:c>
      <x:c r="J66" s="24" t="n">
        <x:v>39.1</x:v>
      </x:c>
      <x:c r="K66" s="29" t="n">
        <x:f>J66-I66</x:f>
        <x:v>9.400000000000002</x:v>
      </x:c>
      <x:c r="L66" s="24" t="n">
        <x:v>15.8</x:v>
      </x:c>
      <x:c r="M66" s="24" t="n">
        <x:v>18.4</x:v>
      </x:c>
      <x:c r="N66" s="29" t="n">
        <x:f>M66-L66</x:f>
        <x:v>2.599999999999998</x:v>
      </x:c>
      <x:c r="O66" s="24" t="n">
        <x:v>22.071875</x:v>
      </x:c>
      <x:c r="P66" s="24" t="n">
        <x:v>26.51875</x:v>
      </x:c>
      <x:c r="Q66" s="29" t="n">
        <x:f>P66-O66</x:f>
        <x:v>4.446875000000002</x:v>
      </x:c>
    </x:row>
    <x:row r="67">
      <x:c r="A67" s="22" t="n">
        <x:v>2011</x:v>
      </x:c>
      <x:c r="B67" s="23" t="n">
        <x:v>40787</x:v>
      </x:c>
      <x:c r="C67" s="23" t="n">
        <x:v>40781</x:v>
      </x:c>
      <x:c r="D67" s="22" t="n">
        <x:v>0</x:v>
      </x:c>
      <x:c r="E67" s="22" t="n">
        <x:v>6</x:v>
      </x:c>
      <x:c r="F67" s="24" t="n">
        <x:v>21.084375</x:v>
      </x:c>
      <x:c r="G67" s="24" t="n">
        <x:v>23.81041666666667</x:v>
      </x:c>
      <x:c r="H67" s="29" t="n">
        <x:f>G67-F67</x:f>
        <x:v>2.726041666666667</x:v>
      </x:c>
      <x:c r="I67" s="24" t="n">
        <x:v>28.3</x:v>
      </x:c>
      <x:c r="J67" s="24" t="n">
        <x:v>31.9</x:v>
      </x:c>
      <x:c r="K67" s="29" t="n">
        <x:f>J67-I67</x:f>
        <x:v>3.599999999999998</x:v>
      </x:c>
      <x:c r="L67" s="24" t="n">
        <x:v>14.9</x:v>
      </x:c>
      <x:c r="M67" s="24" t="n">
        <x:v>17.9</x:v>
      </x:c>
      <x:c r="N67" s="29" t="n">
        <x:f>M67-L67</x:f>
        <x:v>2.9999999999999982</x:v>
      </x:c>
      <x:c r="O67" s="24" t="n">
        <x:v>21.089583333333334</x:v>
      </x:c>
      <x:c r="P67" s="24" t="n">
        <x:v>23.692708333333332</x:v>
      </x:c>
      <x:c r="Q67" s="29" t="n">
        <x:f>P67-O67</x:f>
        <x:v>2.6031249999999986</x:v>
      </x:c>
    </x:row>
    <x:row r="68">
      <x:c r="A68" s="22" t="n">
        <x:v>2012</x:v>
      </x:c>
      <x:c r="B68" s="23" t="n">
        <x:v>41153</x:v>
      </x:c>
      <x:c r="C68" s="23" t="n">
        <x:v>41152</x:v>
      </x:c>
      <x:c r="D68" s="22" t="n">
        <x:v>3</x:v>
      </x:c>
      <x:c r="E68" s="22" t="n">
        <x:v>1</x:v>
      </x:c>
      <x:c r="F68" s="24" t="n">
        <x:v>19.40625</x:v>
      </x:c>
      <x:c r="G68" s="24" t="n">
        <x:v>19.68125</x:v>
      </x:c>
      <x:c r="H68" s="29" t="n">
        <x:f>G68-F68</x:f>
        <x:v>0.2749999999999986</x:v>
      </x:c>
      <x:c r="I68" s="24" t="n">
        <x:v>26.5</x:v>
      </x:c>
      <x:c r="J68" s="24" t="n">
        <x:v>26.5</x:v>
      </x:c>
      <x:c r="K68" s="29" t="n">
        <x:f>J68-I68</x:f>
        <x:v>0</x:v>
      </x:c>
      <x:c r="L68" s="24" t="n">
        <x:v>12.1</x:v>
      </x:c>
      <x:c r="M68" s="24" t="n">
        <x:v>12.1</x:v>
      </x:c>
      <x:c r="N68" s="29" t="n">
        <x:f>M68-L68</x:f>
        <x:v>0</x:v>
      </x:c>
      <x:c r="O68" s="24" t="n">
        <x:v>18.592708333333334</x:v>
      </x:c>
      <x:c r="P68" s="24" t="n">
        <x:v>18.948958333333334</x:v>
      </x:c>
      <x:c r="Q68" s="29" t="n">
        <x:f>P68-O68</x:f>
        <x:v>0.3562499999999993</x:v>
      </x:c>
    </x:row>
    <x:row r="69">
      <x:c r="A69" s="22" t="n">
        <x:v>2013</x:v>
      </x:c>
      <x:c r="B69" s="23" t="n">
        <x:v>41518</x:v>
      </x:c>
      <x:c r="C69" s="23" t="n">
        <x:v>41516</x:v>
      </x:c>
      <x:c r="D69" s="22" t="n">
        <x:v>2</x:v>
      </x:c>
      <x:c r="E69" s="22" t="n">
        <x:v>2</x:v>
      </x:c>
      <x:c r="F69" s="24" t="n">
        <x:v>20.170833333333334</x:v>
      </x:c>
      <x:c r="G69" s="24" t="n">
        <x:v>19.358333333333334</x:v>
      </x:c>
      <x:c r="H69" s="29" t="n">
        <x:f>G69-F69</x:f>
        <x:v>-0.8125</x:v>
      </x:c>
      <x:c r="I69" s="24" t="n">
        <x:v>26.7</x:v>
      </x:c>
      <x:c r="J69" s="24" t="n">
        <x:v>25.7</x:v>
      </x:c>
      <x:c r="K69" s="29" t="n">
        <x:f>J69-I69</x:f>
        <x:v>-1</x:v>
      </x:c>
      <x:c r="L69" s="24" t="n">
        <x:v>13.9</x:v>
      </x:c>
      <x:c r="M69" s="24" t="n">
        <x:v>13.4</x:v>
      </x:c>
      <x:c r="N69" s="29" t="n">
        <x:f>M69-L69</x:f>
        <x:v>-0.5</x:v>
      </x:c>
      <x:c r="O69" s="24" t="n">
        <x:v>20.535416666666666</x:v>
      </x:c>
      <x:c r="P69" s="24" t="n">
        <x:v>19.790625</x:v>
      </x:c>
      <x:c r="Q69" s="29" t="n">
        <x:f>P69-O69</x:f>
        <x:v>-0.7447916666666679</x:v>
      </x:c>
    </x:row>
    <x:row r="70">
      <x:c r="A70" s="22" t="n">
        <x:v>2014</x:v>
      </x:c>
      <x:c r="B70" s="23" t="n">
        <x:v>41883</x:v>
      </x:c>
      <x:c r="C70" s="23" t="n">
        <x:v>41880</x:v>
      </x:c>
      <x:c r="D70" s="22" t="n">
        <x:v>1</x:v>
      </x:c>
      <x:c r="E70" s="22" t="n">
        <x:v>3</x:v>
      </x:c>
      <x:c r="F70" s="24" t="n">
        <x:v>26.264583333333334</x:v>
      </x:c>
      <x:c r="G70" s="24" t="n">
        <x:v>24.85520833333333</x:v>
      </x:c>
      <x:c r="H70" s="29" t="n">
        <x:f>G70-F70</x:f>
        <x:v>-1.4093750000000043</x:v>
      </x:c>
      <x:c r="I70" s="24" t="n">
        <x:v>35.3</x:v>
      </x:c>
      <x:c r="J70" s="24" t="n">
        <x:v>32.9</x:v>
      </x:c>
      <x:c r="K70" s="29" t="n">
        <x:f>J70-I70</x:f>
        <x:v>-2.3999999999999986</x:v>
      </x:c>
      <x:c r="L70" s="24" t="n">
        <x:v>19.8</x:v>
      </x:c>
      <x:c r="M70" s="24" t="n">
        <x:v>19</x:v>
      </x:c>
      <x:c r="N70" s="29" t="n">
        <x:f>M70-L70</x:f>
        <x:v>-0.8000000000000007</x:v>
      </x:c>
      <x:c r="O70" s="24" t="n">
        <x:v>27.730208333333334</x:v>
      </x:c>
      <x:c r="P70" s="24" t="n">
        <x:v>26.49895833333333</x:v>
      </x:c>
      <x:c r="Q70" s="29" t="n">
        <x:f>P70-O70</x:f>
        <x:v>-1.2312500000000028</x:v>
      </x:c>
    </x:row>
    <x:row r="71">
      <x:c r="A71" s="22" t="n">
        <x:v>2015</x:v>
      </x:c>
      <x:c r="B71" s="23" t="n">
        <x:v>42248</x:v>
      </x:c>
      <x:c r="C71" s="23" t="n">
        <x:v>42244</x:v>
      </x:c>
      <x:c r="D71" s="22" t="n">
        <x:v>0</x:v>
      </x:c>
      <x:c r="E71" s="22" t="n">
        <x:v>4</x:v>
      </x:c>
      <x:c r="F71" s="24" t="n">
        <x:v>21.778125</x:v>
      </x:c>
      <x:c r="G71" s="24" t="n">
        <x:v>25.202083333333334</x:v>
      </x:c>
      <x:c r="H71" s="29" t="n">
        <x:f>G71-F71</x:f>
        <x:v>3.423958333333335</x:v>
      </x:c>
      <x:c r="I71" s="24" t="n">
        <x:v>28.7</x:v>
      </x:c>
      <x:c r="J71" s="24" t="n">
        <x:v>33</x:v>
      </x:c>
      <x:c r="K71" s="29" t="n">
        <x:f>J71-I71</x:f>
        <x:v>4.300000000000001</x:v>
      </x:c>
      <x:c r="L71" s="24" t="n">
        <x:v>16.6</x:v>
      </x:c>
      <x:c r="M71" s="24" t="n">
        <x:v>19.2</x:v>
      </x:c>
      <x:c r="N71" s="29" t="n">
        <x:f>M71-L71</x:f>
        <x:v>2.599999999999998</x:v>
      </x:c>
      <x:c r="O71" s="24" t="n">
        <x:v>23.51770833333333</x:v>
      </x:c>
      <x:c r="P71" s="24" t="n">
        <x:v>26.682291666666664</x:v>
      </x:c>
      <x:c r="Q71" s="29" t="n">
        <x:f>P71-O71</x:f>
        <x:v>3.164583333333333</x:v>
      </x:c>
    </x:row>
    <x:row r="72">
      <x:c r="A72" s="22" t="n">
        <x:v>2016</x:v>
      </x:c>
      <x:c r="B72" s="23" t="n">
        <x:v>42614</x:v>
      </x:c>
      <x:c r="C72" s="23" t="n">
        <x:v>42608</x:v>
      </x:c>
      <x:c r="D72" s="22" t="n">
        <x:v>0</x:v>
      </x:c>
      <x:c r="E72" s="22" t="n">
        <x:v>6</x:v>
      </x:c>
      <x:c r="F72" s="24" t="n">
        <x:v>24.638541666666665</x:v>
      </x:c>
      <x:c r="G72" s="24" t="n">
        <x:v>24.91979166666667</x:v>
      </x:c>
      <x:c r="H72" s="29" t="n">
        <x:f>G72-F72</x:f>
        <x:v>0.28125000000000355</x:v>
      </x:c>
      <x:c r="I72" s="24" t="n">
        <x:v>35.3</x:v>
      </x:c>
      <x:c r="J72" s="24" t="n">
        <x:v>33.5</x:v>
      </x:c>
      <x:c r="K72" s="29" t="n">
        <x:f>J72-I72</x:f>
        <x:v>-1.7999999999999972</x:v>
      </x:c>
      <x:c r="L72" s="24" t="n">
        <x:v>17.7</x:v>
      </x:c>
      <x:c r="M72" s="24" t="n">
        <x:v>18.3</x:v>
      </x:c>
      <x:c r="N72" s="29" t="n">
        <x:f>M72-L72</x:f>
        <x:v>0.6000000000000014</x:v>
      </x:c>
      <x:c r="O72" s="24" t="n">
        <x:v>25.190625</x:v>
      </x:c>
      <x:c r="P72" s="24" t="n">
        <x:v>26.317708333333332</x:v>
      </x:c>
      <x:c r="Q72" s="29" t="n">
        <x:f>P72-O72</x:f>
        <x:v>1.1270833333333314</x:v>
      </x:c>
    </x:row>
    <x:row r="73">
      <x:c r="A73" s="22" t="n">
        <x:v>2017</x:v>
      </x:c>
      <x:c r="B73" s="23" t="n">
        <x:v>42979</x:v>
      </x:c>
      <x:c r="C73" s="23" t="n">
        <x:v>42972</x:v>
      </x:c>
      <x:c r="D73" s="22" t="n">
        <x:v>0</x:v>
      </x:c>
      <x:c r="E73" s="22" t="n">
        <x:v>7</x:v>
      </x:c>
      <x:c r="F73" s="24" t="n">
        <x:v>20.873958333333334</x:v>
      </x:c>
      <x:c r="G73" s="24" t="n">
        <x:v>25.578125</x:v>
      </x:c>
      <x:c r="H73" s="29" t="n">
        <x:f>G73-F73</x:f>
        <x:v>4.704166666666666</x:v>
      </x:c>
      <x:c r="I73" s="24" t="n">
        <x:v>29</x:v>
      </x:c>
      <x:c r="J73" s="24" t="n">
        <x:v>34.1</x:v>
      </x:c>
      <x:c r="K73" s="29" t="n">
        <x:f>J73-I73</x:f>
        <x:v>5.100000000000001</x:v>
      </x:c>
      <x:c r="L73" s="24" t="n">
        <x:v>14.9</x:v>
      </x:c>
      <x:c r="M73" s="24" t="n">
        <x:v>19.9</x:v>
      </x:c>
      <x:c r="N73" s="29" t="n">
        <x:f>M73-L73</x:f>
        <x:v>4.999999999999998</x:v>
      </x:c>
      <x:c r="O73" s="24" t="n">
        <x:v>22.09166666666667</x:v>
      </x:c>
      <x:c r="P73" s="24" t="n">
        <x:v>26.588541666666668</x:v>
      </x:c>
      <x:c r="Q73" s="29" t="n">
        <x:f>P73-O73</x:f>
        <x:v>4.496874999999999</x:v>
      </x:c>
    </x:row>
    <x:row r="74">
      <x:c r="A74" s="22" t="n">
        <x:v>2018</x:v>
      </x:c>
      <x:c r="B74" s="23" t="n">
        <x:v>43344</x:v>
      </x:c>
      <x:c r="C74" s="23" t="n">
        <x:v>43343</x:v>
      </x:c>
      <x:c r="D74" s="22" t="n">
        <x:v>3</x:v>
      </x:c>
      <x:c r="E74" s="22" t="n">
        <x:v>1</x:v>
      </x:c>
      <x:c r="F74" s="24" t="n">
        <x:v>24.11875</x:v>
      </x:c>
      <x:c r="G74" s="24" t="n">
        <x:v>24.111458333333335</x:v>
      </x:c>
      <x:c r="H74" s="29" t="n">
        <x:f>G74-F74</x:f>
        <x:v>-0.007291666666663588</x:v>
      </x:c>
      <x:c r="I74" s="24" t="n">
        <x:v>31.2</x:v>
      </x:c>
      <x:c r="J74" s="24" t="n">
        <x:v>31.2</x:v>
      </x:c>
      <x:c r="K74" s="29" t="n">
        <x:f>J74-I74</x:f>
        <x:v>0</x:v>
      </x:c>
      <x:c r="L74" s="24" t="n">
        <x:v>18.7</x:v>
      </x:c>
      <x:c r="M74" s="24" t="n">
        <x:v>18.7</x:v>
      </x:c>
      <x:c r="N74" s="29" t="n">
        <x:f>M74-L74</x:f>
        <x:v>0</x:v>
      </x:c>
      <x:c r="O74" s="24" t="n">
        <x:v>26.268749999999997</x:v>
      </x:c>
      <x:c r="P74" s="24" t="n">
        <x:v>26.34375</x:v>
      </x:c>
      <x:c r="Q74" s="29" t="n">
        <x:f>P74-O74</x:f>
        <x:v>0.07500000000000284</x:v>
      </x:c>
    </x:row>
    <x:row r="75">
      <x:c r="A75" s="22" t="n">
        <x:v>2019</x:v>
      </x:c>
      <x:c r="B75" s="23" t="n">
        <x:v>43709</x:v>
      </x:c>
      <x:c r="C75" s="23" t="n">
        <x:v>43707</x:v>
      </x:c>
      <x:c r="D75" s="22" t="n">
        <x:v>2</x:v>
      </x:c>
      <x:c r="E75" s="22" t="n">
        <x:v>2</x:v>
      </x:c>
      <x:c r="F75" s="24" t="n">
        <x:v>23.204166666666666</x:v>
      </x:c>
      <x:c r="G75" s="24" t="n">
        <x:v>23.523958333333333</x:v>
      </x:c>
      <x:c r="H75" s="29" t="n">
        <x:f>G75-F75</x:f>
        <x:v>0.31979166666666714</x:v>
      </x:c>
      <x:c r="I75" s="24" t="n">
        <x:v>30.8</x:v>
      </x:c>
      <x:c r="J75" s="24" t="n">
        <x:v>30.8</x:v>
      </x:c>
      <x:c r="K75" s="29" t="n">
        <x:f>J75-I75</x:f>
        <x:v>0</x:v>
      </x:c>
      <x:c r="L75" s="24" t="n">
        <x:v>19.3</x:v>
      </x:c>
      <x:c r="M75" s="24" t="n">
        <x:v>17.9</x:v>
      </x:c>
      <x:c r="N75" s="29" t="n">
        <x:f>M75-L75</x:f>
        <x:v>-1.4000000000000021</x:v>
      </x:c>
      <x:c r="O75" s="24" t="n">
        <x:v>25.287499999999998</x:v>
      </x:c>
      <x:c r="P75" s="24" t="n">
        <x:v>25.240624999999998</x:v>
      </x:c>
      <x:c r="Q75" s="29" t="n">
        <x:f>P75-O75</x:f>
        <x:v>-0.046875</x:v>
      </x:c>
    </x:row>
    <x:row r="76">
      <x:c r="A76" s="22" t="n">
        <x:v>2020</x:v>
      </x:c>
      <x:c r="B76" s="23" t="n">
        <x:v>44075</x:v>
      </x:c>
      <x:c r="C76" s="23" t="n">
        <x:v>44071</x:v>
      </x:c>
      <x:c r="D76" s="22" t="n">
        <x:v>0</x:v>
      </x:c>
      <x:c r="E76" s="22" t="n">
        <x:v>4</x:v>
      </x:c>
      <x:c r="F76" s="24" t="n">
        <x:v>20.414583333333333</x:v>
      </x:c>
      <x:c r="G76" s="24" t="n">
        <x:v>22.25208333333333</x:v>
      </x:c>
      <x:c r="H76" s="29" t="n">
        <x:f>G76-F76</x:f>
        <x:v>1.8374999999999986</x:v>
      </x:c>
      <x:c r="I76" s="24" t="n">
        <x:v>26.7</x:v>
      </x:c>
      <x:c r="J76" s="24" t="n">
        <x:v>34</x:v>
      </x:c>
      <x:c r="K76" s="29" t="n">
        <x:f>J76-I76</x:f>
        <x:v>7.300000000000001</x:v>
      </x:c>
      <x:c r="L76" s="24" t="n">
        <x:v>15.5</x:v>
      </x:c>
      <x:c r="M76" s="24" t="n">
        <x:v>14.2</x:v>
      </x:c>
      <x:c r="N76" s="29" t="n">
        <x:f>M76-L76</x:f>
        <x:v>-1.3000000000000007</x:v>
      </x:c>
      <x:c r="O76" s="24" t="n">
        <x:v>21.179166666666667</x:v>
      </x:c>
      <x:c r="P76" s="24" t="n">
        <x:v>22.084375</x:v>
      </x:c>
      <x:c r="Q76" s="29" t="n">
        <x:f>P76-O76</x:f>
        <x:v>0.9052083333333343</x:v>
      </x:c>
    </x:row>
    <x:row r="77">
      <x:c r="A77" s="22" t="n">
        <x:v>2021</x:v>
      </x:c>
      <x:c r="B77" s="23" t="n">
        <x:v>44440</x:v>
      </x:c>
      <x:c r="C77" s="23" t="n">
        <x:v>44435</x:v>
      </x:c>
      <x:c r="D77" s="22" t="n">
        <x:v>0</x:v>
      </x:c>
      <x:c r="E77" s="22" t="n">
        <x:v>5</x:v>
      </x:c>
      <x:c r="F77" s="24" t="n">
        <x:v>21.883333333333333</x:v>
      </x:c>
      <x:c r="G77" s="24" t="n">
        <x:v>25.209374999999998</x:v>
      </x:c>
      <x:c r="H77" s="29" t="n">
        <x:f>G77-F77</x:f>
        <x:v>3.326041666666665</x:v>
      </x:c>
      <x:c r="I77" s="24" t="n">
        <x:v>27.6</x:v>
      </x:c>
      <x:c r="J77" s="24" t="n">
        <x:v>34.1</x:v>
      </x:c>
      <x:c r="K77" s="29" t="n">
        <x:f>J77-I77</x:f>
        <x:v>6.5</x:v>
      </x:c>
      <x:c r="L77" s="24" t="n">
        <x:v>16.7</x:v>
      </x:c>
      <x:c r="M77" s="24" t="n">
        <x:v>20.5</x:v>
      </x:c>
      <x:c r="N77" s="29" t="n">
        <x:f>M77-L77</x:f>
        <x:v>3.8000000000000007</x:v>
      </x:c>
      <x:c r="O77" s="24" t="n">
        <x:v>23.76354166666667</x:v>
      </x:c>
      <x:c r="P77" s="24" t="n">
        <x:v>26.68541666666667</x:v>
      </x:c>
      <x:c r="Q77" s="29" t="n">
        <x:f>P77-O77</x:f>
        <x:v>2.921875</x:v>
      </x:c>
    </x:row>
    <x:row r="78">
      <x:c r="A78" s="22" t="n">
        <x:v>2022</x:v>
      </x:c>
      <x:c r="B78" s="23" t="n">
        <x:v>44805</x:v>
      </x:c>
      <x:c r="C78" s="23" t="n">
        <x:v>44799</x:v>
      </x:c>
      <x:c r="D78" s="22" t="n">
        <x:v>0</x:v>
      </x:c>
      <x:c r="E78" s="22" t="n">
        <x:v>6</x:v>
      </x:c>
      <x:c r="F78" s="24" t="n">
        <x:v>25.57916666666667</x:v>
      </x:c>
      <x:c r="G78" s="24" t="n">
        <x:v>24.91875</x:v>
      </x:c>
      <x:c r="H78" s="29" t="n">
        <x:f>G78-F78</x:f>
        <x:v>-0.66041666666667</x:v>
      </x:c>
      <x:c r="I78" s="24" t="n">
        <x:v>32.4</x:v>
      </x:c>
      <x:c r="J78" s="24" t="n">
        <x:v>32.1</x:v>
      </x:c>
      <x:c r="K78" s="29" t="n">
        <x:f>J78-I78</x:f>
        <x:v>-0.29999999999999716</x:v>
      </x:c>
      <x:c r="L78" s="24" t="n">
        <x:v>19.3</x:v>
      </x:c>
      <x:c r="M78" s="24" t="n">
        <x:v>19.5</x:v>
      </x:c>
      <x:c r="N78" s="29" t="n">
        <x:f>M78-L78</x:f>
        <x:v>0.1999999999999993</x:v>
      </x:c>
      <x:c r="O78" s="24" t="n">
        <x:v>25.727083333333333</x:v>
      </x:c>
      <x:c r="P78" s="24" t="n">
        <x:v>26.13125</x:v>
      </x:c>
      <x:c r="Q78" s="29" t="n">
        <x:f>P78-O78</x:f>
        <x:v>0.40416666666666856</x:v>
      </x:c>
    </x:row>
    <x:row r="79">
      <x:c r="A79" s="22" t="n">
        <x:v>2023</x:v>
      </x:c>
      <x:c r="B79" s="23" t="n">
        <x:v>45170</x:v>
      </x:c>
      <x:c r="C79" s="23" t="n">
        <x:v>45163</x:v>
      </x:c>
      <x:c r="D79" s="22" t="n">
        <x:v>0</x:v>
      </x:c>
      <x:c r="E79" s="22" t="n">
        <x:v>7</x:v>
      </x:c>
      <x:c r="F79" s="24" t="n">
        <x:v>21.616666666666667</x:v>
      </x:c>
      <x:c r="G79" s="24" t="n">
        <x:v>25.742708333333333</x:v>
      </x:c>
      <x:c r="H79" s="29" t="n">
        <x:f>G79-F79</x:f>
        <x:v>4.126041666666666</x:v>
      </x:c>
      <x:c r="I79" s="24" t="n">
        <x:v>28</x:v>
      </x:c>
      <x:c r="J79" s="24" t="n">
        <x:v>38.8</x:v>
      </x:c>
      <x:c r="K79" s="29" t="n">
        <x:f>J79-I79</x:f>
        <x:v>10.799999999999997</x:v>
      </x:c>
      <x:c r="L79" s="24" t="n">
        <x:v>18</x:v>
      </x:c>
      <x:c r="M79" s="24" t="n">
        <x:v>16.1</x:v>
      </x:c>
      <x:c r="N79" s="29" t="n">
        <x:f>M79-L79</x:f>
        <x:v>-1.8999999999999986</x:v>
      </x:c>
      <x:c r="O79" s="24" t="n">
        <x:v>22.839583333333334</x:v>
      </x:c>
      <x:c r="P79" s="24" t="n">
        <x:v>25.545833333333334</x:v>
      </x:c>
      <x:c r="Q79" s="29" t="n">
        <x:f>P79-O79</x:f>
        <x:v>2.7062500000000007</x:v>
      </x:c>
    </x:row>
    <x:row r="80">
      <x:c r="A80" s="22" t="n">
        <x:v>2024</x:v>
      </x:c>
      <x:c r="B80" s="23" t="n">
        <x:v>45536</x:v>
      </x:c>
      <x:c r="C80" s="23" t="n">
        <x:v>45534</x:v>
      </x:c>
      <x:c r="D80" s="22" t="n">
        <x:v>2</x:v>
      </x:c>
      <x:c r="E80" s="22" t="n">
        <x:v>2</x:v>
      </x:c>
      <x:c r="F80" s="24" t="n">
        <x:v>23.163541666666667</x:v>
      </x:c>
      <x:c r="G80" s="24" t="n">
        <x:v>23.73125</x:v>
      </x:c>
      <x:c r="H80" s="29" t="n">
        <x:f>G80-F80</x:f>
        <x:v>0.5677083333333321</x:v>
      </x:c>
      <x:c r="I80" s="24" t="n">
        <x:v>29.1</x:v>
      </x:c>
      <x:c r="J80" s="24" t="n">
        <x:v>29.7</x:v>
      </x:c>
      <x:c r="K80" s="29" t="n">
        <x:f>J80-I80</x:f>
        <x:v>0.5999999999999979</x:v>
      </x:c>
      <x:c r="L80" s="24" t="n">
        <x:v>17.6</x:v>
      </x:c>
      <x:c r="M80" s="24" t="n">
        <x:v>20</x:v>
      </x:c>
      <x:c r="N80" s="29" t="n">
        <x:f>M80-L80</x:f>
        <x:v>2.3999999999999986</x:v>
      </x:c>
      <x:c r="O80" s="24" t="n">
        <x:v>25.708333333333332</x:v>
      </x:c>
      <x:c r="P80" s="24" t="n">
        <x:v>25.860416666666666</x:v>
      </x:c>
      <x:c r="Q80" s="29" t="n">
        <x:f>P80-O80</x:f>
        <x:v>0.15208333333333357</x:v>
      </x:c>
    </x:row>
    <x:row r="81">
      <x:c r="A81" s="25" t="n">
        <x:v>2025</x:v>
      </x:c>
      <x:c r="B81" s="26" t="n">
        <x:v>45901</x:v>
      </x:c>
      <x:c r="C81" s="26" t="n">
        <x:v>45898</x:v>
      </x:c>
      <x:c r="D81" s="25" t="n">
        <x:v>1</x:v>
      </x:c>
      <x:c r="E81" s="25" t="n">
        <x:v>3</x:v>
      </x:c>
      <x:c r="F81" s="27" t="n">
        <x:v>23.638541666666665</x:v>
      </x:c>
      <x:c r="G81" s="27" t="n">
        <x:v>24.790625</x:v>
      </x:c>
      <x:c r="H81" s="30" t="n">
        <x:f>G81-F81</x:f>
        <x:v>1.1520833333333336</x:v>
      </x:c>
      <x:c r="I81" s="27" t="n">
        <x:v>33.2</x:v>
      </x:c>
      <x:c r="J81" s="27" t="n">
        <x:v>32.2</x:v>
      </x:c>
      <x:c r="K81" s="30" t="n">
        <x:f>J81-I81</x:f>
        <x:v>-1</x:v>
      </x:c>
      <x:c r="L81" s="27" t="n">
        <x:v>16.2</x:v>
      </x:c>
      <x:c r="M81" s="27" t="n">
        <x:v>16.2</x:v>
      </x:c>
      <x:c r="N81" s="30" t="n">
        <x:f>M81-L81</x:f>
        <x:v>0</x:v>
      </x:c>
      <x:c r="O81" s="27" t="n">
        <x:v>22.304166666666667</x:v>
      </x:c>
      <x:c r="P81" s="27" t="n">
        <x:v>23.0625</x:v>
      </x:c>
      <x:c r="Q81" s="30" t="n">
        <x:f>P81-O81</x:f>
        <x:v>0.7583333333333329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15" hidden="0" customWidth="1"/>
  </x:cols>
  <x:sheetData>
    <x:row r="2">
      <x:c r="A2" s="187" t="str">
        <x:v>Método, controles y limitaciones</x:v>
      </x:c>
      <x:c r="B2" s="13"/>
    </x:row>
    <x:row r="3">
      <x:c r="A3" s="13"/>
      <x:c r="B3" s="13"/>
    </x:row>
    <x:row r="4">
      <x:c r="A4" s="8" t="str">
        <x:v>Elemento</x:v>
      </x:c>
      <x:c r="B4" s="8" t="str">
        <x:v>Especificación</x:v>
      </x:c>
    </x:row>
    <x:row r="5" ht="45" customHeight="1">
      <x:c r="A5" s="184" t="str">
        <x:v>Hipótesis</x:v>
      </x:c>
      <x:c r="B5" s="64" t="str">
        <x:v>Para cada variable j y año t se define D(j,t)=B(j,t)−A(j,t). Se contrasta unilateralmente si la media reciente de D supera a la media histórica no solapada.</x:v>
      </x:c>
    </x:row>
    <x:row r="6" ht="45" customHeight="1">
      <x:c r="A6" s="185" t="str">
        <x:v>Estimando principal</x:v>
      </x:c>
      <x:c r="B6" s="68" t="str">
        <x:v>Δ=(B reciente−B histórico)−(A reciente−A histórico). El contraste principal usa 2020–2025 frente a 1950–2019. La comparación con 1950–2025 se presenta solo como descripción porque contiene los años recientes.</x:v>
      </x:c>
    </x:row>
    <x:row r="7" ht="45" customHeight="1">
      <x:c r="A7" s="185" t="str">
        <x:v>Unidad analítica</x:v>
      </x:c>
      <x:c r="B7" s="68" t="str">
        <x:v>Un año. No se consideran las 96 horas como observaciones independientes; así se evita pseudorreplicación.</x:v>
      </x:c>
    </x:row>
    <x:row r="8" ht="45" customHeight="1">
      <x:c r="A8" s="185" t="str">
        <x:v>Ajuste calendárico</x:v>
      </x:c>
      <x:c r="B8" s="68" t="str">
        <x:v>La separación entre el inicio de B y el 1 de septiembre se trata como una categoría de 1 a 7 días. En 2020–2025 las categorías son 4, 5, 6, 7, 2 y 3 días.</x:v>
      </x:c>
    </x:row>
    <x:row r="9" ht="45" customHeight="1">
      <x:c r="A9" s="185" t="str">
        <x:v>Permutación exacta</x:v>
      </x:c>
      <x:c r="B9" s="68" t="str">
        <x:v>Reasignación dentro de cada estrato de separación. Se enumeraron 1.610.510 asignaciones para 2020–2025 y 146.410 para 2021–2025.</x:v>
      </x:c>
    </x:row>
    <x:row r="10" ht="45" customHeight="1">
      <x:c r="A10" s="185" t="str">
        <x:v>Multiplicidad</x:v>
      </x:c>
      <x:c r="B10" s="68" t="str">
        <x:v>Corrección maxT conjunta sobre las cuatro variables, conservando su correlación en cada reasignación. Se muestran p sin ajustar y p maxT.</x:v>
      </x:c>
    </x:row>
    <x:row r="11" ht="45" customHeight="1">
      <x:c r="A11" s="185" t="str">
        <x:v>Bootstrap temporal</x:v>
      </x:c>
      <x:c r="B11" s="68" t="str">
        <x:v>Bootstrap circular por bloques sobre residuos multivariantes del modelo ajustado por calendario. 20.000 réplicas; semilla 20260922; bloque principal de 5 años y sensibilidades de 3 y 7 años.</x:v>
      </x:c>
    </x:row>
    <x:row r="12" ht="45" customHeight="1">
      <x:c r="A12" s="185" t="str">
        <x:v>Ventanas históricas</x:v>
      </x:c>
      <x:c r="B12" s="68" t="str">
        <x:v>La ventana reciente se compara con todas las ventanas consecutivas históricas de la misma longitud. Cada ventana se ajusta usando los restantes años de sus mismas categorías calendáricas.</x:v>
      </x:c>
    </x:row>
    <x:row r="13" ht="45" customHeight="1">
      <x:c r="A13" s="185" t="str">
        <x:v>Tendencia</x:v>
      </x:c>
      <x:c r="B13" s="68" t="str">
        <x:v>Regresión de B−A sobre año y categorías calendáricas. Inferencia Newey–West con retardo 5. La pendiente se expresa en °C por decenio.</x:v>
      </x:c>
    </x:row>
    <x:row r="14" ht="45" customHeight="1">
      <x:c r="A14" s="185" t="str">
        <x:v>Criterio de robustez</x:v>
      </x:c>
      <x:c r="B14" s="68" t="str">
        <x:v>Se exige signo positivo, estabilidad en 2021–2025 y leave-one-year-out, compatibilidad con el análisis sin solapamiento y evidencia tras ajuste maxT. La afirmación universal requiere que las cuatro variables cumplan el criterio.</x:v>
      </x:c>
    </x:row>
    <x:row r="15" ht="45" customHeight="1">
      <x:c r="A15" s="185" t="str">
        <x:v>Control de datos anuales</x:v>
      </x:c>
      <x:c r="B15" s="68" t="str">
        <x:v>76 años completos, sin años duplicados y sin valores ausentes en las variables requeridas. Distribución de separaciones: 1 días=11, 2 días=11, 3 días=11, 4 días=11, 5 días=10, 6 días=11, 7 días=11.</x:v>
      </x:c>
    </x:row>
    <x:row r="16" ht="45" customHeight="1">
      <x:c r="A16" s="185" t="str">
        <x:v>Control de datos horarios</x:v>
      </x:c>
      <x:c r="B16" s="68" t="str">
        <x:v>El archivo fuente contiene 21.888 registros, 288 por año. Se detectó un defecto de etiqueta de exportación: las filas de las 04:00 aparecen como 00:00, generando 912 marcas duplicadas. La secuencia y los valores están completos. Tras reconstruir el orden horario, todas las medias, máximas, mínimas y temperaturas aparentes anuales se reprodujeron con error máximo 7.1e-15 °C.</x:v>
      </x:c>
    </x:row>
    <x:row r="17" ht="45" customHeight="1">
      <x:c r="A17" s="185" t="str">
        <x:v>Limitación principal</x:v>
      </x:c>
      <x:c r="B17" s="68" t="str">
        <x:v>Cinco o seis años recientes proporcionan poca precisión. Un resultado no significativo no prueba ausencia de efecto; un resultado significativo puede depender de un año extremo o de la definición de la ventana.</x:v>
      </x:c>
    </x:row>
    <x:row r="18" ht="45" customHeight="1">
      <x:c r="A18" s="185" t="str">
        <x:v>Fuente climática</x:v>
      </x:c>
      <x:c r="B18" s="68" t="str">
        <x:v>ERA5-Land/Copernicus-ECMWF mediante Open-Meteo Historical Weather API: https://open-meteo.com/en/docs/historical-weather-api</x:v>
      </x:c>
    </x:row>
    <x:row r="19" ht="45" customHeight="1">
      <x:c r="A19" s="185" t="str">
        <x:v>Bootstrap por bloques</x:v>
      </x:c>
      <x:c r="B19" s="68" t="str">
        <x:v>Künsch HR. The Jackknife and the Bootstrap for General Stationary Observations. Annals of Statistics. 1989;17:1217–1241. https://doi.org/10.1214/aos/1176347265</x:v>
      </x:c>
    </x:row>
    <x:row r="20" ht="45" customHeight="1">
      <x:c r="A20" s="186" t="str">
        <x:v>Errores HAC</x:v>
      </x:c>
      <x:c r="B20" s="72" t="str">
        <x:v>Newey WK, West KD. A Simple, Positive Semi-definite, Heteroskedasticity and Autocorrelation Consistent Covariance Matrix. Econometrica. 1987;55:703–708. https://doi.org/10.2307/1913610</x:v>
      </x:c>
    </x:row>
  </x:sheetData>
  <x:pageMargins left="0.7" right="0.7" top="0.75" bottom="0.75" header="0.3" footer="0.3"/>
</x:worksheet>
</file>