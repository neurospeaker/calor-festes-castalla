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e9bc64c2949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clusión" sheetId="1" r:id="R29a5bf605f5f490b"/>
    <x:sheet xmlns:r="http://schemas.openxmlformats.org/officeDocument/2006/relationships" name="Resultados" sheetId="2" r:id="Rf2f6d513ef6f4d59"/>
    <x:sheet xmlns:r="http://schemas.openxmlformats.org/officeDocument/2006/relationships" name="Sensibilidad" sheetId="3" r:id="Rfc1081bcf0764717"/>
    <x:sheet xmlns:r="http://schemas.openxmlformats.org/officeDocument/2006/relationships" name="Ventanas históricas" sheetId="4" r:id="Rfbe1f45c270a4398"/>
    <x:sheet xmlns:r="http://schemas.openxmlformats.org/officeDocument/2006/relationships" name="Datos anuales" sheetId="5" r:id="R544385cd7e434267"/>
    <x:sheet xmlns:r="http://schemas.openxmlformats.org/officeDocument/2006/relationships" name="Método" sheetId="6" r:id="Re525a624421c48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0.00"/>
    <x:numFmt numFmtId="202" formatCode="0.0000"/>
    <x:numFmt numFmtId="203" formatCode="0.0%"/>
    <x:numFmt numFmtId="204" formatCode="#,##0"/>
  </x:numFmts>
  <x:fonts count="9">
    <x:font>
      <x:sz val="11"/>
      <x:name val="Carlito"/>
    </x:font>
    <x:font>
      <x:b/>
      <x:sz val="15"/>
      <x:color rgb="FF1F4E78"/>
      <x:name val="Arial"/>
    </x:font>
    <x:font>
      <x:i/>
      <x:sz val="9"/>
      <x:color rgb="FF52606D"/>
      <x:name val="Arial"/>
    </x:font>
    <x:font>
      <x:b/>
      <x:sz val="10"/>
      <x:color rgb="FFFFFFFF"/>
      <x:name val="Arial"/>
    </x:font>
    <x:font>
      <x:b/>
      <x:sz val="10"/>
      <x:color rgb="FF1F4E78"/>
      <x:name val="Arial"/>
    </x:font>
    <x:font>
      <x:sz val="10"/>
      <x:name val="Arial"/>
    </x:font>
    <x:font>
      <x:i/>
      <x:sz val="10"/>
      <x:color rgb="FF52606D"/>
      <x:name val="Arial"/>
    </x:font>
    <x:font>
      <x:b/>
      <x:sz val="11"/>
      <x:color rgb="FF1F4E78"/>
      <x:name val="Arial"/>
    </x:font>
    <x:font>
      <x:b/>
      <x:sz val="10"/>
      <x:color rgb="FF8A5A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6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19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center" vertical="center"/>
    </x:xf>
    <x:xf numFmtId="200" fontId="5" fillId="0" borderId="2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horizontal="center" vertical="center"/>
    </x:xf>
    <x:xf numFmtId="200" fontId="5" fillId="0" borderId="3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vertical="center"/>
    </x:xf>
    <x:xf numFmtId="201" fontId="5" fillId="3" borderId="2" xfId="0" applyNumberFormat="1" applyFont="1" applyFill="1" applyBorder="1" applyAlignment="1">
      <x:alignment vertical="center"/>
    </x:xf>
    <x:xf numFmtId="201" fontId="5" fillId="3" borderId="3" xfId="0" applyNumberFormat="1" applyFont="1" applyFill="1" applyBorder="1" applyAlignment="1">
      <x:alignment vertical="center"/>
    </x:xf>
    <x:xf numFmtId="201" fontId="5" fillId="3" borderId="4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1" fontId="0" fillId="0" borderId="4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202" fontId="0" fillId="0" borderId="4" xfId="0" applyNumberFormat="1" applyFont="1" applyFill="1" applyBorder="1"/>
    <x:xf numFmtId="203" fontId="0" fillId="0" borderId="2" xfId="0" applyNumberFormat="1" applyFont="1" applyFill="1" applyBorder="1"/>
    <x:xf numFmtId="203" fontId="0" fillId="0" borderId="3" xfId="0" applyNumberFormat="1" applyFont="1" applyFill="1" applyBorder="1"/>
    <x:xf numFmtId="203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4" fontId="0" fillId="0" borderId="0" xfId="0" applyNumberFormat="1" applyFont="1" applyFill="1" applyBorder="1"/>
    <x:xf numFmtId="202" fontId="0" fillId="0" borderId="0" xfId="0" applyNumberFormat="1" applyFont="1" applyFill="1" applyBorder="1"/>
    <x:xf numFmtId="204" fontId="0" fillId="0" borderId="2" xfId="0" applyNumberFormat="1" applyFont="1" applyFill="1" applyBorder="1"/>
    <x:xf numFmtId="204" fontId="0" fillId="0" borderId="3" xfId="0" applyNumberFormat="1" applyFont="1" applyFill="1" applyBorder="1"/>
    <x:xf numFmtId="204" fontId="0" fillId="0" borderId="4" xfId="0" applyNumberFormat="1" applyFont="1" applyFill="1" applyBorder="1"/>
    <x:xf numFmtId="0" fontId="5" fillId="0" borderId="2" xfId="0" applyNumberFormat="1" applyFont="1" applyFill="1" applyBorder="1"/>
    <x:xf numFmtId="201" fontId="5" fillId="0" borderId="2" xfId="0" applyNumberFormat="1" applyFont="1" applyFill="1" applyBorder="1"/>
    <x:xf numFmtId="202" fontId="5" fillId="0" borderId="2" xfId="0" applyNumberFormat="1" applyFont="1" applyFill="1" applyBorder="1"/>
    <x:xf numFmtId="203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/>
    <x:xf numFmtId="201" fontId="5" fillId="0" borderId="3" xfId="0" applyNumberFormat="1" applyFont="1" applyFill="1" applyBorder="1"/>
    <x:xf numFmtId="202" fontId="5" fillId="0" borderId="3" xfId="0" applyNumberFormat="1" applyFont="1" applyFill="1" applyBorder="1"/>
    <x:xf numFmtId="203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/>
    <x:xf numFmtId="201" fontId="5" fillId="0" borderId="4" xfId="0" applyNumberFormat="1" applyFont="1" applyFill="1" applyBorder="1"/>
    <x:xf numFmtId="202" fontId="5" fillId="0" borderId="4" xfId="0" applyNumberFormat="1" applyFont="1" applyFill="1" applyBorder="1"/>
    <x:xf numFmtId="203" fontId="5" fillId="0" borderId="4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204" fontId="5" fillId="0" borderId="2" xfId="0" applyNumberFormat="1" applyFont="1" applyFill="1" applyBorder="1"/>
    <x:xf numFmtId="204" fontId="5" fillId="0" borderId="3" xfId="0" applyNumberFormat="1" applyFont="1" applyFill="1" applyBorder="1"/>
    <x:xf numFmtId="204" fontId="5" fillId="0" borderId="4" xfId="0" applyNumberFormat="1" applyFont="1" applyFill="1" applyBorder="1"/>
    <x:xf numFmtId="0" fontId="4" fillId="4" borderId="5" xfId="0" applyNumberFormat="1" applyFont="1" applyFill="1" applyBorder="1" applyAlignment="1">
      <x:alignment vertical="center"/>
    </x:xf>
    <x:xf numFmtId="0" fontId="4" fillId="4" borderId="6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3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203" fontId="5" fillId="0" borderId="3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/>
    </x:xf>
    <x:xf numFmtId="202" fontId="5" fillId="0" borderId="4" xfId="0" applyNumberFormat="1" applyFont="1" applyFill="1" applyBorder="1" applyAlignment="1">
      <x:alignment vertical="center"/>
    </x:xf>
    <x:xf numFmtId="203" fontId="5" fillId="0" borderId="4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 wrapText="1"/>
    </x:xf>
    <x:xf numFmtId="204" fontId="5" fillId="0" borderId="2" xfId="0" applyNumberFormat="1" applyFont="1" applyFill="1" applyBorder="1" applyAlignment="1">
      <x:alignment vertical="center"/>
    </x:xf>
    <x:xf numFmtId="204" fontId="5" fillId="0" borderId="3" xfId="0" applyNumberFormat="1" applyFont="1" applyFill="1" applyBorder="1" applyAlignment="1">
      <x:alignment vertical="center"/>
    </x:xf>
    <x:xf numFmtId="204" fontId="5" fillId="0" borderId="4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8" xfId="0" applyNumberFormat="1" applyFont="1" applyFill="1" applyBorder="1"/>
    <x:xf numFmtId="0" fontId="7" fillId="3" borderId="9" xfId="0" applyNumberFormat="1" applyFont="1" applyFill="1" applyBorder="1"/>
    <x:xf numFmtId="0" fontId="7" fillId="3" borderId="10" xfId="0" applyNumberFormat="1" applyFont="1" applyFill="1" applyBorder="1"/>
    <x:xf numFmtId="0" fontId="7" fillId="3" borderId="11" xfId="0" applyNumberFormat="1" applyFont="1" applyFill="1" applyBorder="1"/>
    <x:xf numFmtId="0" fontId="7" fillId="3" borderId="12" xfId="0" applyNumberFormat="1" applyFont="1" applyFill="1" applyBorder="1"/>
    <x:xf numFmtId="0" fontId="7" fillId="3" borderId="13" xfId="0" applyNumberFormat="1" applyFont="1" applyFill="1" applyBorder="1"/>
    <x:xf numFmtId="0" fontId="7" fillId="3" borderId="14" xfId="0" applyNumberFormat="1" applyFont="1" applyFill="1" applyBorder="1"/>
    <x:xf numFmtId="0" fontId="7" fillId="3" borderId="15" xfId="0" applyNumberFormat="1" applyFont="1" applyFill="1" applyBorder="1"/>
    <x:xf numFmtId="0" fontId="7" fillId="3" borderId="8" xfId="0" applyNumberFormat="1" applyFont="1" applyFill="1" applyBorder="1" applyAlignment="1">
      <x:alignment wrapText="1"/>
    </x:xf>
    <x:xf numFmtId="0" fontId="7" fillId="3" borderId="9" xfId="0" applyNumberFormat="1" applyFont="1" applyFill="1" applyBorder="1" applyAlignment="1">
      <x:alignment wrapText="1"/>
    </x:xf>
    <x:xf numFmtId="0" fontId="7" fillId="3" borderId="10" xfId="0" applyNumberFormat="1" applyFont="1" applyFill="1" applyBorder="1" applyAlignment="1">
      <x:alignment wrapText="1"/>
    </x:xf>
    <x:xf numFmtId="0" fontId="7" fillId="3" borderId="11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12" xfId="0" applyNumberFormat="1" applyFont="1" applyFill="1" applyBorder="1" applyAlignment="1">
      <x:alignment wrapText="1"/>
    </x:xf>
    <x:xf numFmtId="0" fontId="7" fillId="3" borderId="13" xfId="0" applyNumberFormat="1" applyFont="1" applyFill="1" applyBorder="1" applyAlignment="1">
      <x:alignment wrapText="1"/>
    </x:xf>
    <x:xf numFmtId="0" fontId="7" fillId="3" borderId="14" xfId="0" applyNumberFormat="1" applyFont="1" applyFill="1" applyBorder="1" applyAlignment="1">
      <x:alignment wrapText="1"/>
    </x:xf>
    <x:xf numFmtId="0" fontId="7" fillId="3" borderId="15" xfId="0" applyNumberFormat="1" applyFont="1" applyFill="1" applyBorder="1" applyAlignment="1">
      <x:alignment wrapText="1"/>
    </x:xf>
    <x:xf numFmtId="0" fontId="7" fillId="3" borderId="8" xfId="0" applyNumberFormat="1" applyFont="1" applyFill="1" applyBorder="1" applyAlignment="1">
      <x:alignment vertical="center" wrapText="1"/>
    </x:xf>
    <x:xf numFmtId="0" fontId="7" fillId="3" borderId="9" xfId="0" applyNumberFormat="1" applyFont="1" applyFill="1" applyBorder="1" applyAlignment="1">
      <x:alignment vertical="center" wrapText="1"/>
    </x:xf>
    <x:xf numFmtId="0" fontId="7" fillId="3" borderId="10" xfId="0" applyNumberFormat="1" applyFont="1" applyFill="1" applyBorder="1" applyAlignment="1">
      <x:alignment vertical="center" wrapText="1"/>
    </x:xf>
    <x:xf numFmtId="0" fontId="7" fillId="3" borderId="1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12" xfId="0" applyNumberFormat="1" applyFont="1" applyFill="1" applyBorder="1" applyAlignment="1">
      <x:alignment vertical="center" wrapText="1"/>
    </x:xf>
    <x:xf numFmtId="0" fontId="7" fillId="3" borderId="13" xfId="0" applyNumberFormat="1" applyFont="1" applyFill="1" applyBorder="1" applyAlignment="1">
      <x:alignment vertical="center" wrapText="1"/>
    </x:xf>
    <x:xf numFmtId="0" fontId="7" fillId="3" borderId="14" xfId="0" applyNumberFormat="1" applyFont="1" applyFill="1" applyBorder="1" applyAlignment="1">
      <x:alignment vertical="center" wrapText="1"/>
    </x:xf>
    <x:xf numFmtId="0" fontId="7" fillId="3" borderId="15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5" xfId="0" applyNumberFormat="1" applyFont="1" applyFill="1" applyBorder="1"/>
    <x:xf numFmtId="202" fontId="0" fillId="0" borderId="10" xfId="0" applyNumberFormat="1" applyFont="1" applyFill="1" applyBorder="1"/>
    <x:xf numFmtId="202" fontId="0" fillId="0" borderId="12" xfId="0" applyNumberFormat="1" applyFont="1" applyFill="1" applyBorder="1"/>
    <x:xf numFmtId="0" fontId="0" fillId="5" borderId="15" xfId="0" applyNumberFormat="1" applyFont="1" applyFill="1" applyBorder="1"/>
    <x:xf numFmtId="0" fontId="8" fillId="5" borderId="15" xfId="0" applyNumberFormat="1" applyFont="1" applyFill="1" applyBorder="1"/>
    <x:xf numFmtId="0" fontId="8" fillId="5" borderId="15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8" xfId="0" applyNumberFormat="1" applyFont="1" applyFill="1" applyBorder="1"/>
    <x:xf numFmtId="202" fontId="5" fillId="0" borderId="10" xfId="0" applyNumberFormat="1" applyFont="1" applyFill="1" applyBorder="1"/>
    <x:xf numFmtId="0" fontId="4" fillId="3" borderId="8" xfId="0" applyNumberFormat="1" applyFont="1" applyFill="1" applyBorder="1" applyAlignment="1">
      <x:alignment vertical="center" wrapText="1"/>
    </x:xf>
    <x:xf numFmtId="0" fontId="4" fillId="3" borderId="9" xfId="0" applyNumberFormat="1" applyFont="1" applyFill="1" applyBorder="1" applyAlignment="1">
      <x:alignment vertical="center" wrapText="1"/>
    </x:xf>
    <x:xf numFmtId="0" fontId="4" fillId="3" borderId="10" xfId="0" applyNumberFormat="1" applyFont="1" applyFill="1" applyBorder="1" applyAlignment="1">
      <x:alignment vertical="center" wrapText="1"/>
    </x:xf>
    <x:xf numFmtId="0" fontId="5" fillId="0" borderId="11" xfId="0" applyNumberFormat="1" applyFont="1" applyFill="1" applyBorder="1"/>
    <x:xf numFmtId="202" fontId="5" fillId="0" borderId="12" xfId="0" applyNumberFormat="1" applyFont="1" applyFill="1" applyBorder="1"/>
    <x:xf numFmtId="0" fontId="4" fillId="3" borderId="1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2" xfId="0" applyNumberFormat="1" applyFont="1" applyFill="1" applyBorder="1" applyAlignment="1">
      <x:alignment vertical="center" wrapText="1"/>
    </x:xf>
    <x:xf numFmtId="0" fontId="4" fillId="3" borderId="13" xfId="0" applyNumberFormat="1" applyFont="1" applyFill="1" applyBorder="1" applyAlignment="1">
      <x:alignment vertical="center" wrapText="1"/>
    </x:xf>
    <x:xf numFmtId="0" fontId="4" fillId="3" borderId="14" xfId="0" applyNumberFormat="1" applyFont="1" applyFill="1" applyBorder="1" applyAlignment="1">
      <x:alignment vertical="center" wrapText="1"/>
    </x:xf>
    <x:xf numFmtId="0" fontId="4" fillId="3" borderId="15" xfId="0" applyNumberFormat="1" applyFont="1" applyFill="1" applyBorder="1" applyAlignment="1">
      <x:alignment vertical="center" wrapText="1"/>
    </x:xf>
    <x:xf numFmtId="0" fontId="5" fillId="0" borderId="13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202" fontId="5" fillId="0" borderId="10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202" fontId="5" fillId="0" borderId="12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/>
    </x:xf>
    <x:xf numFmtId="0" fontId="8" fillId="5" borderId="15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/>
    <x:xf numFmtId="201" fontId="0" fillId="3" borderId="3" xfId="0" applyNumberFormat="1" applyFont="1" applyFill="1" applyBorder="1"/>
    <x:xf numFmtId="202" fontId="0" fillId="3" borderId="3" xfId="0" applyNumberFormat="1" applyFont="1" applyFill="1" applyBorder="1"/>
    <x:xf numFmtId="0" fontId="4" fillId="0" borderId="8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5" fillId="3" borderId="3" xfId="0" applyNumberFormat="1" applyFont="1" applyFill="1" applyBorder="1"/>
    <x:xf numFmtId="201" fontId="5" fillId="3" borderId="3" xfId="0" applyNumberFormat="1" applyFont="1" applyFill="1" applyBorder="1"/>
    <x:xf numFmtId="202" fontId="5" fillId="3" borderId="3" xfId="0" applyNumberFormat="1" applyFont="1" applyFill="1" applyBorder="1"/>
    <x:xf numFmtId="0" fontId="5" fillId="0" borderId="10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vertical="center"/>
    </x:xf>
    <x:xf numFmtId="202" fontId="5" fillId="3" borderId="3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/>
    </x:xf>
    <x:xf numFmtId="0" fontId="5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/>
    </x:xf>
    <x:xf numFmtId="0" fontId="5" fillId="0" borderId="15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/>
    <x:xf numFmtId="201" fontId="0" fillId="5" borderId="4" xfId="0" applyNumberFormat="1" applyFont="1" applyFill="1" applyBorder="1"/>
    <x:xf numFmtId="0" fontId="8" fillId="5" borderId="4" xfId="0" applyNumberFormat="1" applyFont="1" applyFill="1" applyBorder="1"/>
    <x:xf numFmtId="201" fontId="8" fillId="5" borderId="4" xfId="0" applyNumberFormat="1" applyFont="1" applyFill="1" applyBorder="1"/>
    <x:xf numFmtId="0" fontId="8" fillId="5" borderId="5" xfId="0" applyNumberFormat="1" applyFont="1" applyFill="1" applyBorder="1"/>
    <x:xf numFmtId="0" fontId="8" fillId="5" borderId="6" xfId="0" applyNumberFormat="1" applyFont="1" applyFill="1" applyBorder="1"/>
    <x:xf numFmtId="201" fontId="8" fillId="5" borderId="6" xfId="0" applyNumberFormat="1" applyFont="1" applyFill="1" applyBorder="1"/>
    <x:xf numFmtId="201" fontId="8" fillId="5" borderId="7" xfId="0" applyNumberFormat="1" applyFont="1" applyFill="1" applyBorder="1"/>
    <x:xf numFmtId="0" fontId="8" fillId="5" borderId="5" xfId="0" applyNumberFormat="1" applyFont="1" applyFill="1" applyBorder="1" applyAlignment="1">
      <x:alignment vertical="center"/>
    </x:xf>
    <x:xf numFmtId="0" fontId="8" fillId="5" borderId="6" xfId="0" applyNumberFormat="1" applyFont="1" applyFill="1" applyBorder="1" applyAlignment="1">
      <x:alignment vertical="center"/>
    </x:xf>
    <x:xf numFmtId="201" fontId="8" fillId="5" borderId="6" xfId="0" applyNumberFormat="1" applyFont="1" applyFill="1" applyBorder="1" applyAlignment="1">
      <x:alignment vertical="center"/>
    </x:xf>
    <x:xf numFmtId="201" fontId="8" fillId="5" borderId="7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color rgb="FF2E6B35"/>
      </x:font>
      <x:fill>
        <x:patternFill patternType="solid">
          <x:bgColor rgb="FFE2F0D9"/>
        </x:patternFill>
      </x:fill>
    </x:dxf>
    <x:dxf>
      <x:font>
        <x:b/>
        <x:color rgb="FF2E6B35"/>
      </x:font>
      <x:fill>
        <x:patternFill patternType="solid">
          <x:bgColor rgb="FFE2F0D9"/>
        </x:patternFill>
      </x:fill>
    </x:dxf>
    <x:dxf>
      <x:font>
        <x:color rgb="FF8A5A00"/>
      </x:font>
      <x:fill>
        <x:patternFill patternType="solid">
          <x:bgColor rgb="FFFFF2CC"/>
        </x:patternFill>
      </x:fill>
    </x:dxf>
    <x:dxf>
      <x:font>
        <x:color rgb="FF2E6B35"/>
      </x:font>
      <x:fill>
        <x:patternFill patternType="solid">
          <x:bgColor rgb="FFE2F0D9"/>
        </x:patternFill>
      </x:fill>
    </x:dxf>
    <x:dxf>
      <x:font>
        <x:b/>
        <x:color rgb="FF2E6B35"/>
      </x:font>
      <x:fill>
        <x:patternFill patternType="solid">
          <x:bgColor rgb="FFE2F0D9"/>
        </x:patternFill>
      </x:fill>
    </x:dxf>
    <x:dxf>
      <x:font>
        <x:color rgb="FF8A5A00"/>
      </x:font>
      <x:fill>
        <x:patternFill patternType="solid">
          <x:bgColor rgb="FFFFF2CC"/>
        </x:patternFill>
      </x:fill>
    </x:dxf>
    <x:dxf>
      <x:font>
        <x:color rgb="FF2E6B35"/>
      </x:font>
      <x:fill>
        <x:patternFill patternType="solid">
          <x:bgColor rgb="FFE2F0D9"/>
        </x:patternFill>
      </x:fill>
    </x:dxf>
    <x:dxf>
      <x:font>
        <x:b/>
        <x:color rgb="FF2E6B35"/>
      </x:font>
      <x:fill>
        <x:patternFill patternType="solid">
          <x:bgColor rgb="FFE2F0D9"/>
        </x:patternFill>
      </x:fill>
    </x:dxf>
    <x:dxf>
      <x:font>
        <x:color rgb="FF8A5A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cfd26895d4b5a" /><Relationship Type="http://schemas.openxmlformats.org/officeDocument/2006/relationships/theme" Target="/xl/theme/theme1.xml" Id="R5047e4da7e34455c" /><Relationship Type="http://schemas.openxmlformats.org/officeDocument/2006/relationships/sharedStrings" Target="/xl/sharedStrings.xml" Id="R1ea0913124984db6" /><Relationship Type="http://schemas.openxmlformats.org/officeDocument/2006/relationships/worksheet" Target="/xl/worksheets/sheet1.xml" Id="R29a5bf605f5f490b" /><Relationship Type="http://schemas.openxmlformats.org/officeDocument/2006/relationships/worksheet" Target="/xl/worksheets/sheet2.xml" Id="Rf2f6d513ef6f4d59" /><Relationship Type="http://schemas.openxmlformats.org/officeDocument/2006/relationships/worksheet" Target="/xl/worksheets/sheet3.xml" Id="Rfc1081bcf0764717" /><Relationship Type="http://schemas.openxmlformats.org/officeDocument/2006/relationships/worksheet" Target="/xl/worksheets/sheet4.xml" Id="Rfbe1f45c270a4398" /><Relationship Type="http://schemas.openxmlformats.org/officeDocument/2006/relationships/worksheet" Target="/xl/worksheets/sheet5.xml" Id="R544385cd7e434267" /><Relationship Type="http://schemas.openxmlformats.org/officeDocument/2006/relationships/worksheet" Target="/xl/worksheets/sheet6.xml" Id="Re525a624421c48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d4f75e09205461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4e99341806546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Aumento 2016–2025 respecto a 1950–2015 (°C)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Cambio A</c:v>
          </c:tx>
          <c:spPr>
            <a:solidFill xmlns:a="http://schemas.openxmlformats.org/drawingml/2006/main">
              <a:srgbClr val="A5A5A5"/>
            </a:solidFill>
          </c:spPr>
          <c:cat>
            <c:strRef>
              <c:f>'Conclusión'!$A$13:$A$16</c:f>
              <c:strCache>
                <c:ptCount val="0"/>
              </c:strCache>
            </c:strRef>
          </c:cat>
          <c:val>
            <c:numRef>
              <c:f>'Conclusión'!$B$13:$B$16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Cambio B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'Conclusión'!$A$13:$A$16</c:f>
              <c:strCache>
                <c:ptCount val="0"/>
              </c:strCache>
            </c:strRef>
          </c:cat>
          <c:val>
            <c:numRef>
              <c:f>'Conclusión'!$C$13:$C$16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Ventanas de diez años: cambio diferencial ajustado (°C)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Temperatura media</c:v>
          </c:tx>
          <c:spPr>
            <a:ln xmlns:a="http://schemas.openxmlformats.org/drawingml/2006/main" w="19050">
              <a:solidFill>
                <a:srgbClr val="5B9BD5"/>
              </a:solidFill>
              <a:prstDash val="solid"/>
            </a:ln>
          </c:spPr>
          <c:marker>
            <c:symbol val="none"/>
          </c:marker>
          <c:cat>
            <c:strRef>
              <c:f>'Ventanas históricas'!$C$6:$C$63</c:f>
              <c:strCache>
                <c:ptCount val="0"/>
              </c:strCache>
            </c:strRef>
          </c:cat>
          <c:val>
            <c:numRef>
              <c:f>'Ventanas históricas'!$D$6:$D$63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Máxima diurna</c:v>
          </c:tx>
          <c:spPr>
            <a:ln xmlns:a="http://schemas.openxmlformats.org/drawingml/2006/main" w="1905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'Ventanas históricas'!$C$6:$C$63</c:f>
              <c:strCache>
                <c:ptCount val="0"/>
              </c:strCache>
            </c:strRef>
          </c:cat>
          <c:val>
            <c:numRef>
              <c:f>'Ventanas históricas'!$E$6:$E$63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11</xdr:row>
      <xdr:rowOff>0</xdr:rowOff>
    </xdr:from>
    <xdr:to>
      <xdr:col>20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4f75e09205461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e993418065467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f5df800b00b47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a3ce419afa22432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5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6" hidden="0" customWidth="1"/>
    <x:col min="13" max="13" width="25" hidden="0" customWidth="1"/>
    <x:col min="14" max="14" width="24" hidden="0" customWidth="1"/>
  </x:cols>
  <x:sheetData>
    <x:row r="2">
      <x:c r="A2" s="196" t="str">
        <x:v>Castalla: últimos diez años frente al historial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</x:row>
    <x:row r="4">
      <x:c r="A4" s="14" t="str">
        <x:v>Análisis principal: 2016–2025 frente a 1950–2015. La serie completa 1950–2025 se conserva como comparación descriptiva.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3"/>
      <x:c r="M4" s="8" t="str">
        <x:v>Prueba global principal</x:v>
      </x:c>
      <x:c r="N4" s="8"/>
      <x:c r="O4" s="13"/>
      <x:c r="P4" s="13"/>
      <x:c r="Q4" s="13"/>
      <x:c r="R4" s="13"/>
      <x:c r="S4" s="13"/>
      <x:c r="T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49" t="str">
        <x:v>Permutación maxT</x:v>
      </x:c>
      <x:c r="N5" s="150" t="n">
        <x:f>'Resultados'!D40</x:f>
        <x:v>0.12157175685648629</x:v>
      </x:c>
      <x:c r="O5" s="13"/>
      <x:c r="P5" s="13"/>
      <x:c r="Q5" s="13"/>
      <x:c r="R5" s="13"/>
      <x:c r="S5" s="13"/>
      <x:c r="T5" s="13"/>
    </x:row>
    <x:row r="6">
      <x:c r="A6" s="136" t="str">
        <x:v>Conclusión: B aumentó más que A en las cuatro estimaciones puntuales, pero la hipótesis conjunta no queda confirmada con evidencia robusta al 5%. La señal principal está en la máxima diurna: +2,97 °C en B frente a +1,06 °C en A; diferencia ajustada de +1,72 °C. Su intervalo bootstrap es positivo, pero las p corregidas por cuatro variables son 0,1216 (permutación) y 0,0856 (bootstrap). La mínima nocturna apenas difiere (+0,04 °C ajustados).</x:v>
      </x:c>
      <x:c r="B6" s="137"/>
      <x:c r="C6" s="137"/>
      <x:c r="D6" s="137"/>
      <x:c r="E6" s="137"/>
      <x:c r="F6" s="137"/>
      <x:c r="G6" s="137"/>
      <x:c r="H6" s="137"/>
      <x:c r="I6" s="137"/>
      <x:c r="J6" s="137"/>
      <x:c r="K6" s="138"/>
      <x:c r="L6" s="13"/>
      <x:c r="M6" s="151" t="str">
        <x:v>Bootstrap maxT</x:v>
      </x:c>
      <x:c r="N6" s="152" t="n">
        <x:f>'Resultados'!E40</x:f>
        <x:v>0.08556381453951535</x:v>
      </x:c>
      <x:c r="O6" s="13"/>
      <x:c r="P6" s="13"/>
      <x:c r="Q6" s="13"/>
      <x:c r="R6" s="13"/>
      <x:c r="S6" s="13"/>
      <x:c r="T6" s="13"/>
    </x:row>
    <x:row r="7">
      <x:c r="A7" s="141"/>
      <x:c r="B7" s="142"/>
      <x:c r="C7" s="142"/>
      <x:c r="D7" s="142"/>
      <x:c r="E7" s="142"/>
      <x:c r="F7" s="142"/>
      <x:c r="G7" s="142"/>
      <x:c r="H7" s="142"/>
      <x:c r="I7" s="142"/>
      <x:c r="J7" s="142"/>
      <x:c r="K7" s="143"/>
      <x:c r="L7" s="13"/>
      <x:c r="M7" s="151" t="str">
        <x:v>Sensibilidad 2015–2025</x:v>
      </x:c>
      <x:c r="N7" s="152" t="n">
        <x:f>'Resultados'!D41</x:f>
        <x:v>0.0674238651522697</x:v>
      </x:c>
      <x:c r="O7" s="13"/>
      <x:c r="P7" s="13"/>
      <x:c r="Q7" s="13"/>
      <x:c r="R7" s="13"/>
      <x:c r="S7" s="13"/>
      <x:c r="T7" s="13"/>
    </x:row>
    <x:row r="8">
      <x:c r="A8" s="141"/>
      <x:c r="B8" s="142"/>
      <x:c r="C8" s="142"/>
      <x:c r="D8" s="142"/>
      <x:c r="E8" s="142"/>
      <x:c r="F8" s="142"/>
      <x:c r="G8" s="142"/>
      <x:c r="H8" s="142"/>
      <x:c r="I8" s="142"/>
      <x:c r="J8" s="142"/>
      <x:c r="K8" s="143"/>
      <x:c r="L8" s="13"/>
      <x:c r="M8" s="151" t="str">
        <x:v>Sensibilidad 2017–2025</x:v>
      </x:c>
      <x:c r="N8" s="152" t="n">
        <x:f>'Resultados'!D42</x:f>
        <x:v>0.047831904336191326</x:v>
      </x:c>
      <x:c r="O8" s="13"/>
      <x:c r="P8" s="13"/>
      <x:c r="Q8" s="13"/>
      <x:c r="R8" s="13"/>
      <x:c r="S8" s="13"/>
      <x:c r="T8" s="13"/>
    </x:row>
    <x:row r="9">
      <x:c r="A9" s="144"/>
      <x:c r="B9" s="145"/>
      <x:c r="C9" s="145"/>
      <x:c r="D9" s="145"/>
      <x:c r="E9" s="145"/>
      <x:c r="F9" s="145"/>
      <x:c r="G9" s="145"/>
      <x:c r="H9" s="145"/>
      <x:c r="I9" s="145"/>
      <x:c r="J9" s="145"/>
      <x:c r="K9" s="146"/>
      <x:c r="L9" s="13"/>
      <x:c r="M9" s="153" t="str">
        <x:v>Veredicto</x:v>
      </x:c>
      <x:c r="N9" s="154" t="str">
        <x:v>No confirma las cuatro variables</x:v>
      </x:c>
      <x:c r="O9" s="13"/>
      <x:c r="P9" s="13"/>
      <x:c r="Q9" s="13"/>
      <x:c r="R9" s="13"/>
      <x:c r="S9" s="13"/>
      <x:c r="T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</x:row>
    <x:row r="12" ht="30" customHeight="1">
      <x:c r="A12" s="8" t="str">
        <x:v>Variable</x:v>
      </x:c>
      <x:c r="B12" s="8" t="str">
        <x:v>Cambio A</x:v>
      </x:c>
      <x:c r="C12" s="8" t="str">
        <x:v>Cambio B</x:v>
      </x:c>
      <x:c r="D12" s="8" t="str">
        <x:v>DiD sin ajustar</x:v>
      </x:c>
      <x:c r="E12" s="8" t="str">
        <x:v>DiD ajustada</x:v>
      </x:c>
      <x:c r="F12" s="8" t="str">
        <x:v>IC bajo</x:v>
      </x:c>
      <x:c r="G12" s="8" t="str">
        <x:v>IC alto</x:v>
      </x:c>
      <x:c r="H12" s="8" t="str">
        <x:v>p perm. maxT</x:v>
      </x:c>
      <x:c r="I12" s="8" t="str">
        <x:v>p boot. maxT</x:v>
      </x:c>
      <x:c r="J12" s="8" t="str">
        <x:v>Percentil histórico</x:v>
      </x:c>
      <x:c r="K12" s="8" t="str">
        <x:v>Interpretación</x:v>
      </x:c>
      <x:c r="L12" s="13"/>
      <x:c r="M12" s="13"/>
      <x:c r="N12" s="13"/>
      <x:c r="O12" s="13"/>
      <x:c r="P12" s="13"/>
      <x:c r="Q12" s="13"/>
      <x:c r="R12" s="13"/>
      <x:c r="S12" s="13"/>
      <x:c r="T12" s="13"/>
    </x:row>
    <x:row r="13" ht="30" customHeight="1">
      <x:c r="A13" s="78" t="str">
        <x:f>'Resultados'!A8</x:f>
        <x:v>Temperatura media</x:v>
      </x:c>
      <x:c r="B13" s="21" t="n">
        <x:f>'Resultados'!D8</x:f>
        <x:v>1.1311489898989961</x:v>
      </x:c>
      <x:c r="C13" s="21" t="n">
        <x:f>'Resultados'!G8</x:f>
        <x:v>2.1044696969696908</x:v>
      </x:c>
      <x:c r="D13" s="21" t="n">
        <x:f>'Resultados'!H8</x:f>
        <x:v>0.9733207070706946</x:v>
      </x:c>
      <x:c r="E13" s="21" t="n">
        <x:f>'Resultados'!I8</x:f>
        <x:v>0.8487741835285755</x:v>
      </x:c>
      <x:c r="F13" s="21" t="n">
        <x:f>'Resultados'!J8</x:f>
        <x:v>-0.21892554517305432</x:v>
      </x:c>
      <x:c r="G13" s="21" t="n">
        <x:f>'Resultados'!K8</x:f>
        <x:v>1.8732044640382484</x:v>
      </x:c>
      <x:c r="H13" s="79" t="n">
        <x:f>'Resultados'!M8</x:f>
        <x:v>0.20569558860882278</x:v>
      </x:c>
      <x:c r="I13" s="79" t="n">
        <x:f>'Resultados'!O8</x:f>
        <x:v>0.17746075130828973</x:v>
      </x:c>
      <x:c r="J13" s="80" t="n">
        <x:f>'Resultados'!P8</x:f>
        <x:v>0.9649122807017544</x:v>
      </x:c>
      <x:c r="K13" s="81" t="str">
        <x:f>'Resultados'!Q8</x:f>
        <x:v>Aumento estimado; evidencia insuficiente</x:v>
      </x:c>
      <x:c r="L13" s="13"/>
      <x:c r="M13" s="13"/>
      <x:c r="N13" s="13"/>
      <x:c r="O13" s="13"/>
      <x:c r="P13" s="13"/>
      <x:c r="Q13" s="13"/>
      <x:c r="R13" s="13"/>
      <x:c r="S13" s="13"/>
      <x:c r="T13" s="13"/>
    </x:row>
    <x:row r="14" ht="30" customHeight="1">
      <x:c r="A14" s="82" t="str">
        <x:f>'Resultados'!A9</x:f>
        <x:v>Máxima diurna</x:v>
      </x:c>
      <x:c r="B14" s="24" t="n">
        <x:f>'Resultados'!D9</x:f>
        <x:v>1.0618181818181824</x:v>
      </x:c>
      <x:c r="C14" s="24" t="n">
        <x:f>'Resultados'!G9</x:f>
        <x:v>2.974242424242423</x:v>
      </x:c>
      <x:c r="D14" s="24" t="n">
        <x:f>'Resultados'!H9</x:f>
        <x:v>1.9124242424242404</x:v>
      </x:c>
      <x:c r="E14" s="24" t="n">
        <x:f>'Resultados'!I9</x:f>
        <x:v>1.7157614483493075</x:v>
      </x:c>
      <x:c r="F14" s="24" t="n">
        <x:f>'Resultados'!J9</x:f>
        <x:v>0.27240015085167607</x:v>
      </x:c>
      <x:c r="G14" s="24" t="n">
        <x:f>'Resultados'!K9</x:f>
        <x:v>3.362987377165586</x:v>
      </x:c>
      <x:c r="H14" s="83" t="n">
        <x:f>'Resultados'!M9</x:f>
        <x:v>0.12157175685648629</x:v>
      </x:c>
      <x:c r="I14" s="83" t="n">
        <x:f>'Resultados'!O9</x:f>
        <x:v>0.08556381453951535</x:v>
      </x:c>
      <x:c r="J14" s="84" t="n">
        <x:f>'Resultados'!P9</x:f>
        <x:v>1</x:v>
      </x:c>
      <x:c r="K14" s="85" t="str">
        <x:f>'Resultados'!Q9</x:f>
        <x:v>Señal sugerente; no concluyente al 5%</x:v>
      </x:c>
      <x:c r="L14" s="13"/>
      <x:c r="M14" s="13"/>
      <x:c r="N14" s="13"/>
      <x:c r="O14" s="13"/>
      <x:c r="P14" s="13"/>
      <x:c r="Q14" s="13"/>
      <x:c r="R14" s="13"/>
      <x:c r="S14" s="13"/>
      <x:c r="T14" s="13"/>
    </x:row>
    <x:row r="15" ht="30" customHeight="1">
      <x:c r="A15" s="82" t="str">
        <x:f>'Resultados'!A10</x:f>
        <x:v>Mínima nocturna</x:v>
      </x:c>
      <x:c r="B15" s="24" t="n">
        <x:f>'Resultados'!D10</x:f>
        <x:v>1.714242424242423</x:v>
      </x:c>
      <x:c r="C15" s="24" t="n">
        <x:f>'Resultados'!G10</x:f>
        <x:v>1.864848484848487</x:v>
      </x:c>
      <x:c r="D15" s="24" t="n">
        <x:f>'Resultados'!H10</x:f>
        <x:v>0.15060606060606396</x:v>
      </x:c>
      <x:c r="E15" s="24" t="n">
        <x:f>'Resultados'!I10</x:f>
        <x:v>0.04451544195953112</x:v>
      </x:c>
      <x:c r="F15" s="24" t="n">
        <x:f>'Resultados'!J10</x:f>
        <x:v>-1.229820935420615</x:v>
      </x:c>
      <x:c r="G15" s="24" t="n">
        <x:f>'Resultados'!K10</x:f>
        <x:v>1.2567780085764084</x:v>
      </x:c>
      <x:c r="H15" s="83" t="n">
        <x:f>'Resultados'!M10</x:f>
        <x:v>0.706508586982826</x:v>
      </x:c>
      <x:c r="I15" s="83" t="n">
        <x:f>'Resultados'!O10</x:f>
        <x:v>0.7105096496783441</x:v>
      </x:c>
      <x:c r="J15" s="84" t="n">
        <x:f>'Resultados'!P10</x:f>
        <x:v>0.6140350877192983</x:v>
      </x:c>
      <x:c r="K15" s="85" t="str">
        <x:f>'Resultados'!Q10</x:f>
        <x:v>Aumento estimado; evidencia insuficiente</x:v>
      </x:c>
      <x:c r="L15" s="13"/>
      <x:c r="M15" s="13"/>
      <x:c r="N15" s="13"/>
      <x:c r="O15" s="13"/>
      <x:c r="P15" s="13"/>
      <x:c r="Q15" s="13"/>
      <x:c r="R15" s="13"/>
      <x:c r="S15" s="13"/>
      <x:c r="T15" s="13"/>
    </x:row>
    <x:row r="16" ht="30" customHeight="1">
      <x:c r="A16" s="86" t="str">
        <x:f>'Resultados'!A11</x:f>
        <x:v>Temperatura aparente media</x:v>
      </x:c>
      <x:c r="B16" s="27" t="n">
        <x:f>'Resultados'!D11</x:f>
        <x:v>1.751256313131318</x:v>
      </x:c>
      <x:c r="C16" s="27" t="n">
        <x:f>'Resultados'!G11</x:f>
        <x:v>2.574504419191914</x:v>
      </x:c>
      <x:c r="D16" s="27" t="n">
        <x:f>'Resultados'!H11</x:f>
        <x:v>0.8232481060605963</x:v>
      </x:c>
      <x:c r="E16" s="27" t="n">
        <x:f>'Resultados'!I11</x:f>
        <x:v>0.6621161696840616</x:v>
      </x:c>
      <x:c r="F16" s="27" t="n">
        <x:f>'Resultados'!J11</x:f>
        <x:v>-0.5049275249112067</x:v>
      </x:c>
      <x:c r="G16" s="27" t="n">
        <x:f>'Resultados'!K11</x:f>
        <x:v>1.7857818941109325</x:v>
      </x:c>
      <x:c r="H16" s="87" t="n">
        <x:f>'Resultados'!M11</x:f>
        <x:v>0.3164133671732657</x:v>
      </x:c>
      <x:c r="I16" s="87" t="n">
        <x:f>'Resultados'!O11</x:f>
        <x:v>0.3063564547848405</x:v>
      </x:c>
      <x:c r="J16" s="88" t="n">
        <x:f>'Resultados'!P11</x:f>
        <x:v>0.912280701754386</x:v>
      </x:c>
      <x:c r="K16" s="89" t="str">
        <x:f>'Resultados'!Q11</x:f>
        <x:v>Aumento estimado; evidencia insuficiente</x:v>
      </x:c>
      <x:c r="L16" s="13"/>
      <x:c r="M16" s="13"/>
      <x:c r="N16" s="13"/>
      <x:c r="O16" s="13"/>
      <x:c r="P16" s="13"/>
      <x:c r="Q16" s="13"/>
      <x:c r="R16" s="13"/>
      <x:c r="S16" s="13"/>
      <x:c r="T16" s="13"/>
    </x:row>
    <x:row r="17" ht="30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</x:row>
    <x:row r="18" ht="30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</x:row>
    <x:row r="19" ht="30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</x:row>
    <x:row r="20" ht="30" customHeight="1">
      <x:c r="A20" s="75" t="str">
        <x:v>Sensibilidad a mover un año el inicio del periodo reciente</x:v>
      </x:c>
      <x:c r="B20" s="76"/>
      <x:c r="C20" s="76"/>
      <x:c r="D20" s="76"/>
      <x:c r="E20" s="76"/>
      <x:c r="F20" s="77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</x:row>
    <x:row r="21" ht="30" customHeight="1">
      <x:c r="A21" s="8" t="str">
        <x:v>Periodo</x:v>
      </x:c>
      <x:c r="B21" s="8" t="str">
        <x:v>DiD Tmax ajustada</x:v>
      </x:c>
      <x:c r="C21" s="8" t="str">
        <x:v>p Tmax perm. maxT</x:v>
      </x:c>
      <x:c r="D21" s="8" t="str">
        <x:v>p global perm. maxT</x:v>
      </x:c>
      <x:c r="E21" s="8" t="str">
        <x:v>p global boot. maxT</x:v>
      </x:c>
      <x:c r="F21" s="8" t="str">
        <x:v>Lectura</x:v>
      </x:c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</x:row>
    <x:row r="22" ht="30" customHeight="1">
      <x:c r="A22" s="78" t="str">
        <x:v>2015–2025</x:v>
      </x:c>
      <x:c r="B22" s="21" t="n">
        <x:v>1.9794896957801764</x:v>
      </x:c>
      <x:c r="C22" s="79" t="n">
        <x:v>0.0674238651522697</x:v>
      </x:c>
      <x:c r="D22" s="79" t="n">
        <x:v>0.0674238651522697</x:v>
      </x:c>
      <x:c r="E22" s="79" t="n">
        <x:v>0.0327989067031099</x:v>
      </x:c>
      <x:c r="F22" s="81" t="str">
        <x:v>Mixta: depende del método</x:v>
      </x:c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</x:row>
    <x:row r="23" ht="30" customHeight="1">
      <x:c r="A23" s="82" t="str">
        <x:v>2016–2025</x:v>
      </x:c>
      <x:c r="B23" s="24" t="n">
        <x:v>1.7157614483493075</x:v>
      </x:c>
      <x:c r="C23" s="83" t="n">
        <x:v>0.12157175685648629</x:v>
      </x:c>
      <x:c r="D23" s="83" t="n">
        <x:v>0.12157175685648629</x:v>
      </x:c>
      <x:c r="E23" s="83" t="n">
        <x:v>0.08556381453951535</x:v>
      </x:c>
      <x:c r="F23" s="85" t="str">
        <x:v>Principal: sugerente, no concluyente</x:v>
      </x:c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</x:row>
    <x:row r="24" ht="30" customHeight="1">
      <x:c r="A24" s="86" t="str">
        <x:v>2017–2025</x:v>
      </x:c>
      <x:c r="B24" s="27" t="n">
        <x:v>2.316763678696158</x:v>
      </x:c>
      <x:c r="C24" s="87" t="n">
        <x:v>0.047831904336191326</x:v>
      </x:c>
      <x:c r="D24" s="87" t="n">
        <x:v>0.047831904336191326</x:v>
      </x:c>
      <x:c r="E24" s="87" t="n">
        <x:v>0.019966001133295556</x:v>
      </x:c>
      <x:c r="F24" s="89" t="str">
        <x:v>Concluyente; Tmax domina</x:v>
      </x:c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</x:row>
  </x:sheetData>
  <x:mergeCells>
    <x:mergeCell ref="A6:K9"/>
  </x:mergeCells>
  <x:pageMargins left="0.7" right="0.7" top="0.75" bottom="0.75" header="0.3" footer="0.3"/>
  <x:drawing xmlns:r="http://schemas.openxmlformats.org/officeDocument/2006/relationships" r:id="Ref5df800b00b4752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36" hidden="0" customWidth="1"/>
  </x:cols>
  <x:sheetData>
    <x:row r="2">
      <x:c r="A2" s="196" t="str">
        <x:v>Resultados estadísticos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</x:row>
    <x:row r="4">
      <x:c r="A4" s="14" t="str">
        <x:v>Estimando: (B reciente − B histórico) − (A reciente − A histórico). Un valor positivo indica que B ha aumentado más que A.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</x:row>
    <x:row r="6">
      <x:c r="A6" s="75" t="str">
        <x:v>2016–2025 frente a 1950–2015</x:v>
      </x:c>
      <x:c r="B6" s="76"/>
      <x:c r="C6" s="76"/>
      <x:c r="D6" s="76"/>
      <x:c r="E6" s="76"/>
      <x:c r="F6" s="76"/>
      <x:c r="G6" s="76"/>
      <x:c r="H6" s="76"/>
      <x:c r="I6" s="76"/>
      <x:c r="J6" s="76"/>
      <x:c r="K6" s="76"/>
      <x:c r="L6" s="76"/>
      <x:c r="M6" s="76"/>
      <x:c r="N6" s="76"/>
      <x:c r="O6" s="76"/>
      <x:c r="P6" s="76"/>
      <x:c r="Q6" s="77"/>
    </x:row>
    <x:row r="7" ht="28" customHeight="1">
      <x:c r="A7" s="8" t="str">
        <x:v>Variable</x:v>
      </x:c>
      <x:c r="B7" s="8" t="str">
        <x:v>A histórico</x:v>
      </x:c>
      <x:c r="C7" s="8" t="str">
        <x:v>A reciente</x:v>
      </x:c>
      <x:c r="D7" s="8" t="str">
        <x:v>Cambio A</x:v>
      </x:c>
      <x:c r="E7" s="8" t="str">
        <x:v>B histórico</x:v>
      </x:c>
      <x:c r="F7" s="8" t="str">
        <x:v>B reciente</x:v>
      </x:c>
      <x:c r="G7" s="8" t="str">
        <x:v>Cambio B</x:v>
      </x:c>
      <x:c r="H7" s="8" t="str">
        <x:v>DiD sin ajustar</x:v>
      </x:c>
      <x:c r="I7" s="8" t="str">
        <x:v>DiD ajustada calendario</x:v>
      </x:c>
      <x:c r="J7" s="8" t="str">
        <x:v>IC bootstrap bajo</x:v>
      </x:c>
      <x:c r="K7" s="8" t="str">
        <x:v>IC bootstrap alto</x:v>
      </x:c>
      <x:c r="L7" s="8" t="str">
        <x:v>p permutación</x:v>
      </x:c>
      <x:c r="M7" s="8" t="str">
        <x:v>p permutación maxT</x:v>
      </x:c>
      <x:c r="N7" s="8" t="str">
        <x:v>p bootstrap</x:v>
      </x:c>
      <x:c r="O7" s="8" t="str">
        <x:v>p bootstrap maxT</x:v>
      </x:c>
      <x:c r="P7" s="8" t="str">
        <x:v>Percentil ventanas</x:v>
      </x:c>
      <x:c r="Q7" s="8" t="str">
        <x:v>Interpretación</x:v>
      </x:c>
    </x:row>
    <x:row r="8" ht="28" customHeight="1">
      <x:c r="A8" s="78" t="str">
        <x:v>Temperatura media</x:v>
      </x:c>
      <x:c r="B8" s="21" t="n">
        <x:v>21.781976010101005</x:v>
      </x:c>
      <x:c r="C8" s="21" t="n">
        <x:v>22.913125</x:v>
      </x:c>
      <x:c r="D8" s="21" t="n">
        <x:f>C8-B8</x:f>
        <x:v>1.1311489898989961</x:v>
      </x:c>
      <x:c r="E8" s="21" t="n">
        <x:v>22.373342803030308</x:v>
      </x:c>
      <x:c r="F8" s="21" t="n">
        <x:v>24.4778125</x:v>
      </x:c>
      <x:c r="G8" s="21" t="n">
        <x:f>F8-E8</x:f>
        <x:v>2.1044696969696908</x:v>
      </x:c>
      <x:c r="H8" s="21" t="n">
        <x:f>G8-D8</x:f>
        <x:v>0.9733207070706946</x:v>
      </x:c>
      <x:c r="I8" s="21" t="n">
        <x:v>0.8487741835285755</x:v>
      </x:c>
      <x:c r="J8" s="21" t="n">
        <x:v>-0.21892554517305432</x:v>
      </x:c>
      <x:c r="K8" s="21" t="n">
        <x:v>1.8732044640382484</x:v>
      </x:c>
      <x:c r="L8" s="79" t="n">
        <x:v>0.09683380633238733</x:v>
      </x:c>
      <x:c r="M8" s="79" t="n">
        <x:v>0.20569558860882278</x:v>
      </x:c>
      <x:c r="N8" s="79" t="n">
        <x:v>0.07086430452318256</x:v>
      </x:c>
      <x:c r="O8" s="79" t="n">
        <x:v>0.17746075130828973</x:v>
      </x:c>
      <x:c r="P8" s="80" t="n">
        <x:v>0.9649122807017544</x:v>
      </x:c>
      <x:c r="Q8" s="81" t="str">
        <x:v>Aumento estimado; evidencia insuficiente</x:v>
      </x:c>
    </x:row>
    <x:row r="9" ht="28" customHeight="1">
      <x:c r="A9" s="82" t="str">
        <x:v>Máxima diurna</x:v>
      </x:c>
      <x:c r="B9" s="24" t="n">
        <x:v>29.26818181818182</x:v>
      </x:c>
      <x:c r="C9" s="24" t="n">
        <x:v>30.330000000000002</x:v>
      </x:c>
      <x:c r="D9" s="24" t="n">
        <x:f>C9-B9</x:f>
        <x:v>1.0618181818181824</x:v>
      </x:c>
      <x:c r="E9" s="24" t="n">
        <x:v>30.075757575757574</x:v>
      </x:c>
      <x:c r="F9" s="24" t="n">
        <x:v>33.05</x:v>
      </x:c>
      <x:c r="G9" s="24" t="n">
        <x:f>F9-E9</x:f>
        <x:v>2.974242424242423</x:v>
      </x:c>
      <x:c r="H9" s="24" t="n">
        <x:f>G9-D9</x:f>
        <x:v>1.9124242424242404</x:v>
      </x:c>
      <x:c r="I9" s="24" t="n">
        <x:v>1.7157614483493075</x:v>
      </x:c>
      <x:c r="J9" s="24" t="n">
        <x:v>0.27240015085167607</x:v>
      </x:c>
      <x:c r="K9" s="24" t="n">
        <x:v>3.362987377165586</x:v>
      </x:c>
      <x:c r="L9" s="83" t="n">
        <x:v>0.054887890224219554</x:v>
      </x:c>
      <x:c r="M9" s="83" t="n">
        <x:v>0.12157175685648629</x:v>
      </x:c>
      <x:c r="N9" s="83" t="n">
        <x:v>0.04203193226892437</x:v>
      </x:c>
      <x:c r="O9" s="83" t="n">
        <x:v>0.08556381453951535</x:v>
      </x:c>
      <x:c r="P9" s="84" t="n">
        <x:v>1</x:v>
      </x:c>
      <x:c r="Q9" s="85" t="str">
        <x:v>Señal sugerente; no concluyente al 5%</x:v>
      </x:c>
    </x:row>
    <x:row r="10" ht="28" customHeight="1">
      <x:c r="A10" s="82" t="str">
        <x:v>Mínima nocturna</x:v>
      </x:c>
      <x:c r="B10" s="24" t="n">
        <x:v>15.675757575757574</x:v>
      </x:c>
      <x:c r="C10" s="24" t="n">
        <x:v>17.389999999999997</x:v>
      </x:c>
      <x:c r="D10" s="24" t="n">
        <x:f>C10-B10</x:f>
        <x:v>1.714242424242423</x:v>
      </x:c>
      <x:c r="E10" s="24" t="n">
        <x:v>16.265151515151516</x:v>
      </x:c>
      <x:c r="F10" s="24" t="n">
        <x:v>18.130000000000003</x:v>
      </x:c>
      <x:c r="G10" s="24" t="n">
        <x:f>F10-E10</x:f>
        <x:v>1.864848484848487</x:v>
      </x:c>
      <x:c r="H10" s="24" t="n">
        <x:f>G10-D10</x:f>
        <x:v>0.15060606060606396</x:v>
      </x:c>
      <x:c r="I10" s="24" t="n">
        <x:v>0.04451544195953112</x:v>
      </x:c>
      <x:c r="J10" s="24" t="n">
        <x:v>-1.229820935420615</x:v>
      </x:c>
      <x:c r="K10" s="24" t="n">
        <x:v>1.2567780085764084</x:v>
      </x:c>
      <x:c r="L10" s="83" t="n">
        <x:v>0.47500304999390003</x:v>
      </x:c>
      <x:c r="M10" s="83" t="n">
        <x:v>0.706508586982826</x:v>
      </x:c>
      <x:c r="N10" s="83" t="n">
        <x:v>0.48268391053631543</x:v>
      </x:c>
      <x:c r="O10" s="83" t="n">
        <x:v>0.7105096496783441</x:v>
      </x:c>
      <x:c r="P10" s="84" t="n">
        <x:v>0.6140350877192983</x:v>
      </x:c>
      <x:c r="Q10" s="85" t="str">
        <x:v>Aumento estimado; evidencia insuficiente</x:v>
      </x:c>
    </x:row>
    <x:row r="11" ht="28" customHeight="1">
      <x:c r="A11" s="86" t="str">
        <x:v>Temperatura aparente media</x:v>
      </x:c>
      <x:c r="B11" s="27" t="n">
        <x:v>22.28478535353535</x:v>
      </x:c>
      <x:c r="C11" s="27" t="n">
        <x:v>24.03604166666667</x:v>
      </x:c>
      <x:c r="D11" s="27" t="n">
        <x:f>C11-B11</x:f>
        <x:v>1.751256313131318</x:v>
      </x:c>
      <x:c r="E11" s="27" t="n">
        <x:v>22.81153724747475</x:v>
      </x:c>
      <x:c r="F11" s="27" t="n">
        <x:v>25.386041666666664</x:v>
      </x:c>
      <x:c r="G11" s="27" t="n">
        <x:f>F11-E11</x:f>
        <x:v>2.574504419191914</x:v>
      </x:c>
      <x:c r="H11" s="27" t="n">
        <x:f>G11-D11</x:f>
        <x:v>0.8232481060605963</x:v>
      </x:c>
      <x:c r="I11" s="27" t="n">
        <x:v>0.6621161696840616</x:v>
      </x:c>
      <x:c r="J11" s="27" t="n">
        <x:v>-0.5049275249112067</x:v>
      </x:c>
      <x:c r="K11" s="27" t="n">
        <x:v>1.7857818941109325</x:v>
      </x:c>
      <x:c r="L11" s="87" t="n">
        <x:v>0.16082967834064332</x:v>
      </x:c>
      <x:c r="M11" s="87" t="n">
        <x:v>0.3164133671732657</x:v>
      </x:c>
      <x:c r="N11" s="87" t="n">
        <x:v>0.1476284123862538</x:v>
      </x:c>
      <x:c r="O11" s="87" t="n">
        <x:v>0.3063564547848405</x:v>
      </x:c>
      <x:c r="P11" s="88" t="n">
        <x:v>0.912280701754386</x:v>
      </x:c>
      <x:c r="Q11" s="89" t="str">
        <x:v>Aumento estimado; evidencia insuficiente</x:v>
      </x:c>
    </x:row>
    <x:row r="12" ht="28" customHeight="1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</x:row>
    <x:row r="13" ht="28" customHeight="1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</x:row>
    <x:row r="14" ht="28" customHeight="1">
      <x:c r="A14" s="75" t="str">
        <x:v>2015–2025 frente a 1950–2014</x:v>
      </x:c>
      <x:c r="B14" s="76"/>
      <x:c r="C14" s="76"/>
      <x:c r="D14" s="76"/>
      <x:c r="E14" s="76"/>
      <x:c r="F14" s="76"/>
      <x:c r="G14" s="76"/>
      <x:c r="H14" s="76"/>
      <x:c r="I14" s="76"/>
      <x:c r="J14" s="76"/>
      <x:c r="K14" s="76"/>
      <x:c r="L14" s="76"/>
      <x:c r="M14" s="76"/>
      <x:c r="N14" s="76"/>
      <x:c r="O14" s="76"/>
      <x:c r="P14" s="76"/>
      <x:c r="Q14" s="77"/>
    </x:row>
    <x:row r="15" ht="28" customHeight="1">
      <x:c r="A15" s="8" t="str">
        <x:v>Variable</x:v>
      </x:c>
      <x:c r="B15" s="8" t="str">
        <x:v>A histórico</x:v>
      </x:c>
      <x:c r="C15" s="8" t="str">
        <x:v>A reciente</x:v>
      </x:c>
      <x:c r="D15" s="8" t="str">
        <x:v>Cambio A</x:v>
      </x:c>
      <x:c r="E15" s="8" t="str">
        <x:v>B histórico</x:v>
      </x:c>
      <x:c r="F15" s="8" t="str">
        <x:v>B reciente</x:v>
      </x:c>
      <x:c r="G15" s="8" t="str">
        <x:v>Cambio B</x:v>
      </x:c>
      <x:c r="H15" s="8" t="str">
        <x:v>DiD sin ajustar</x:v>
      </x:c>
      <x:c r="I15" s="8" t="str">
        <x:v>DiD ajustada calendario</x:v>
      </x:c>
      <x:c r="J15" s="8" t="str">
        <x:v>IC bootstrap bajo</x:v>
      </x:c>
      <x:c r="K15" s="8" t="str">
        <x:v>IC bootstrap alto</x:v>
      </x:c>
      <x:c r="L15" s="8" t="str">
        <x:v>p permutación</x:v>
      </x:c>
      <x:c r="M15" s="8" t="str">
        <x:v>p permutación maxT</x:v>
      </x:c>
      <x:c r="N15" s="8" t="str">
        <x:v>p bootstrap</x:v>
      </x:c>
      <x:c r="O15" s="8" t="str">
        <x:v>p bootstrap maxT</x:v>
      </x:c>
      <x:c r="P15" s="8" t="str">
        <x:v>Percentil ventanas</x:v>
      </x:c>
      <x:c r="Q15" s="8" t="str">
        <x:v>Interpretación</x:v>
      </x:c>
    </x:row>
    <x:row r="16" ht="28" customHeight="1">
      <x:c r="A16" s="78" t="str">
        <x:v>Temperatura media</x:v>
      </x:c>
      <x:c r="B16" s="21" t="n">
        <x:v>21.782035256410254</x:v>
      </x:c>
      <x:c r="C16" s="21" t="n">
        <x:v>22.809943181818184</x:v>
      </x:c>
      <x:c r="D16" s="21" t="n">
        <x:f>C16-B16</x:f>
        <x:v>1.0279079254079306</x:v>
      </x:c>
      <x:c r="E16" s="21" t="n">
        <x:v>22.32982371794872</x:v>
      </x:c>
      <x:c r="F16" s="21" t="n">
        <x:v>24.5436553030303</x:v>
      </x:c>
      <x:c r="G16" s="21" t="n">
        <x:f>F16-E16</x:f>
        <x:v>2.2138315850815786</x:v>
      </x:c>
      <x:c r="H16" s="21" t="n">
        <x:f>G16-D16</x:f>
        <x:v>1.185923659673648</x:v>
      </x:c>
      <x:c r="I16" s="21" t="n">
        <x:v>1.1198059780830873</x:v>
      </x:c>
      <x:c r="J16" s="21" t="n">
        <x:v>0.13221703634773543</x:v>
      </x:c>
      <x:c r="K16" s="21" t="n">
        <x:v>2.0938118223417637</x:v>
      </x:c>
      <x:c r="L16" s="79" t="n">
        <x:v>0.035435929128141745</x:v>
      </x:c>
      <x:c r="M16" s="79" t="n">
        <x:v>0.08925982148035704</x:v>
      </x:c>
      <x:c r="N16" s="79" t="n">
        <x:v>0.015766141128629046</x:v>
      </x:c>
      <x:c r="O16" s="79" t="n">
        <x:v>0.05779807339755341</x:v>
      </x:c>
      <x:c r="P16" s="80" t="n">
        <x:v>0.9818181818181819</x:v>
      </x:c>
      <x:c r="Q16" s="81" t="str">
        <x:v>Señal sugerente; no concluyente al 5%</x:v>
      </x:c>
    </x:row>
    <x:row r="17" ht="28" customHeight="1">
      <x:c r="A17" s="82" t="str">
        <x:v>Máxima diurna</x:v>
      </x:c>
      <x:c r="B17" s="24" t="n">
        <x:v>29.276923076923076</x:v>
      </x:c>
      <x:c r="C17" s="24" t="n">
        <x:v>30.181818181818183</x:v>
      </x:c>
      <x:c r="D17" s="24" t="n">
        <x:f>C17-B17</x:f>
        <x:v>0.9048951048951075</x:v>
      </x:c>
      <x:c r="E17" s="24" t="n">
        <x:v>30.03076923076923</x:v>
      </x:c>
      <x:c r="F17" s="24" t="n">
        <x:v>33.04545454545455</x:v>
      </x:c>
      <x:c r="G17" s="24" t="n">
        <x:f>F17-E17</x:f>
        <x:v>3.014685314685316</x:v>
      </x:c>
      <x:c r="H17" s="24" t="n">
        <x:f>G17-D17</x:f>
        <x:v>2.1097902097902086</x:v>
      </x:c>
      <x:c r="I17" s="24" t="n">
        <x:v>1.9794896957801764</x:v>
      </x:c>
      <x:c r="J17" s="24" t="n">
        <x:v>0.6184532194574809</x:v>
      </x:c>
      <x:c r="K17" s="24" t="n">
        <x:v>3.5213771114897763</x:v>
      </x:c>
      <x:c r="L17" s="83" t="n">
        <x:v>0.028635942728114545</x:v>
      </x:c>
      <x:c r="M17" s="83" t="n">
        <x:v>0.0674238651522697</x:v>
      </x:c>
      <x:c r="N17" s="83" t="n">
        <x:v>0.01873270890970301</x:v>
      </x:c>
      <x:c r="O17" s="83" t="n">
        <x:v>0.0327989067031099</x:v>
      </x:c>
      <x:c r="P17" s="84" t="n">
        <x:v>1</x:v>
      </x:c>
      <x:c r="Q17" s="85" t="str">
        <x:v>Señal sugerente; no concluyente al 5%</x:v>
      </x:c>
    </x:row>
    <x:row r="18" ht="28" customHeight="1">
      <x:c r="A18" s="82" t="str">
        <x:v>Mínima nocturna</x:v>
      </x:c>
      <x:c r="B18" s="24" t="n">
        <x:v>15.661538461538461</x:v>
      </x:c>
      <x:c r="C18" s="24" t="n">
        <x:v>17.318181818181817</x:v>
      </x:c>
      <x:c r="D18" s="24" t="n">
        <x:f>C18-B18</x:f>
        <x:v>1.6566433566433556</x:v>
      </x:c>
      <x:c r="E18" s="24" t="n">
        <x:v>16.22</x:v>
      </x:c>
      <x:c r="F18" s="24" t="n">
        <x:v>18.227272727272723</x:v>
      </x:c>
      <x:c r="G18" s="24" t="n">
        <x:f>F18-E18</x:f>
        <x:v>2.007272727272724</x:v>
      </x:c>
      <x:c r="H18" s="24" t="n">
        <x:f>G18-D18</x:f>
        <x:v>0.3506293706293686</x:v>
      </x:c>
      <x:c r="I18" s="24" t="n">
        <x:v>0.3157998037291457</x:v>
      </x:c>
      <x:c r="J18" s="24" t="n">
        <x:v>-0.9398404281537757</x:v>
      </x:c>
      <x:c r="K18" s="24" t="n">
        <x:v>1.4998480870770887</x:v>
      </x:c>
      <x:c r="L18" s="83" t="n">
        <x:v>0.30635738728522544</x:v>
      </x:c>
      <x:c r="M18" s="83" t="n">
        <x:v>0.5218089563820872</x:v>
      </x:c>
      <x:c r="N18" s="83" t="n">
        <x:v>0.3066231125629146</x:v>
      </x:c>
      <x:c r="O18" s="83" t="n">
        <x:v>0.530682310589647</x:v>
      </x:c>
      <x:c r="P18" s="84" t="n">
        <x:v>0.7090909090909091</x:v>
      </x:c>
      <x:c r="Q18" s="85" t="str">
        <x:v>Aumento estimado; evidencia insuficiente</x:v>
      </x:c>
    </x:row>
    <x:row r="19" ht="28" customHeight="1">
      <x:c r="A19" s="86" t="str">
        <x:v>Temperatura aparente media</x:v>
      </x:c>
      <x:c r="B19" s="27" t="n">
        <x:v>22.265817307692306</x:v>
      </x:c>
      <x:c r="C19" s="27" t="n">
        <x:v>23.988920454545454</x:v>
      </x:c>
      <x:c r="D19" s="27" t="n">
        <x:f>C19-B19</x:f>
        <x:v>1.7231031468531484</x:v>
      </x:c>
      <x:c r="E19" s="27" t="n">
        <x:v>22.75198717948718</x:v>
      </x:c>
      <x:c r="F19" s="27" t="n">
        <x:v>25.503882575757576</x:v>
      </x:c>
      <x:c r="G19" s="27" t="n">
        <x:f>F19-E19</x:f>
        <x:v>2.7518953962703954</x:v>
      </x:c>
      <x:c r="H19" s="27" t="n">
        <x:f>G19-D19</x:f>
        <x:v>1.028792249417247</x:v>
      </x:c>
      <x:c r="I19" s="27" t="n">
        <x:v>0.9573806018972854</x:v>
      </x:c>
      <x:c r="J19" s="27" t="n">
        <x:v>-0.14617363788759946</x:v>
      </x:c>
      <x:c r="K19" s="27" t="n">
        <x:v>2.047469689997115</x:v>
      </x:c>
      <x:c r="L19" s="87" t="n">
        <x:v>0.06511986976026048</x:v>
      </x:c>
      <x:c r="M19" s="87" t="n">
        <x:v>0.15246969506060987</x:v>
      </x:c>
      <x:c r="N19" s="87" t="n">
        <x:v>0.04539848671710943</x:v>
      </x:c>
      <x:c r="O19" s="87" t="n">
        <x:v>0.12982900569981</x:v>
      </x:c>
      <x:c r="P19" s="88" t="n">
        <x:v>0.9272727272727274</x:v>
      </x:c>
      <x:c r="Q19" s="89" t="str">
        <x:v>Aumento estimado; evidencia insuficiente</x:v>
      </x:c>
    </x:row>
    <x:row r="20" ht="28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</x:row>
    <x:row r="21" ht="28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</x:row>
    <x:row r="22" ht="28" customHeight="1">
      <x:c r="A22" s="75" t="str">
        <x:v>2017–2025 frente a 1950–2016</x:v>
      </x:c>
      <x:c r="B22" s="76"/>
      <x:c r="C22" s="76"/>
      <x:c r="D22" s="76"/>
      <x:c r="E22" s="76"/>
      <x:c r="F22" s="76"/>
      <x:c r="G22" s="76"/>
      <x:c r="H22" s="76"/>
      <x:c r="I22" s="76"/>
      <x:c r="J22" s="76"/>
      <x:c r="K22" s="76"/>
      <x:c r="L22" s="76"/>
      <x:c r="M22" s="76"/>
      <x:c r="N22" s="76"/>
      <x:c r="O22" s="76"/>
      <x:c r="P22" s="76"/>
      <x:c r="Q22" s="77"/>
    </x:row>
    <x:row r="23" ht="28" customHeight="1">
      <x:c r="A23" s="8" t="str">
        <x:v>Variable</x:v>
      </x:c>
      <x:c r="B23" s="8" t="str">
        <x:v>A histórico</x:v>
      </x:c>
      <x:c r="C23" s="8" t="str">
        <x:v>A reciente</x:v>
      </x:c>
      <x:c r="D23" s="8" t="str">
        <x:v>Cambio A</x:v>
      </x:c>
      <x:c r="E23" s="8" t="str">
        <x:v>B histórico</x:v>
      </x:c>
      <x:c r="F23" s="8" t="str">
        <x:v>B reciente</x:v>
      </x:c>
      <x:c r="G23" s="8" t="str">
        <x:v>Cambio B</x:v>
      </x:c>
      <x:c r="H23" s="8" t="str">
        <x:v>DiD sin ajustar</x:v>
      </x:c>
      <x:c r="I23" s="8" t="str">
        <x:v>DiD ajustada calendario</x:v>
      </x:c>
      <x:c r="J23" s="8" t="str">
        <x:v>IC bootstrap bajo</x:v>
      </x:c>
      <x:c r="K23" s="8" t="str">
        <x:v>IC bootstrap alto</x:v>
      </x:c>
      <x:c r="L23" s="8" t="str">
        <x:v>p permutación</x:v>
      </x:c>
      <x:c r="M23" s="8" t="str">
        <x:v>p permutación maxT</x:v>
      </x:c>
      <x:c r="N23" s="8" t="str">
        <x:v>p bootstrap</x:v>
      </x:c>
      <x:c r="O23" s="8" t="str">
        <x:v>p bootstrap maxT</x:v>
      </x:c>
      <x:c r="P23" s="8" t="str">
        <x:v>Percentil ventanas</x:v>
      </x:c>
      <x:c r="Q23" s="8" t="str">
        <x:v>Interpretación</x:v>
      </x:c>
    </x:row>
    <x:row r="24" ht="28" customHeight="1">
      <x:c r="A24" s="78" t="str">
        <x:v>Temperatura media</x:v>
      </x:c>
      <x:c r="B24" s="21" t="n">
        <x:v>21.824611318407957</x:v>
      </x:c>
      <x:c r="C24" s="21" t="n">
        <x:v>22.72141203703704</x:v>
      </x:c>
      <x:c r="D24" s="21" t="n">
        <x:f>C24-B24</x:f>
        <x:v>0.8968007186290841</x:v>
      </x:c>
      <x:c r="E24" s="21" t="n">
        <x:v>22.411349502487568</x:v>
      </x:c>
      <x:c r="F24" s="21" t="n">
        <x:v>24.428703703703704</x:v>
      </x:c>
      <x:c r="G24" s="21" t="n">
        <x:f>F24-E24</x:f>
        <x:v>2.0173542012161363</x:v>
      </x:c>
      <x:c r="H24" s="21" t="n">
        <x:f>G24-D24</x:f>
        <x:v>1.1205534825870522</x:v>
      </x:c>
      <x:c r="I24" s="21" t="n">
        <x:v>0.9984708478851365</x:v>
      </x:c>
      <x:c r="J24" s="21" t="n">
        <x:v>-0.11806054174547616</x:v>
      </x:c>
      <x:c r="K24" s="21" t="n">
        <x:v>2.0746324039767736</x:v>
      </x:c>
      <x:c r="L24" s="79" t="n">
        <x:v>0.07080985838028324</x:v>
      </x:c>
      <x:c r="M24" s="79" t="n">
        <x:v>0.162003675992648</x:v>
      </x:c>
      <x:c r="N24" s="79" t="n">
        <x:v>0.0431985600479984</x:v>
      </x:c>
      <x:c r="O24" s="79" t="n">
        <x:v>0.12309589680343988</x:v>
      </x:c>
      <x:c r="P24" s="80" t="n">
        <x:v>0.9661016949152542</x:v>
      </x:c>
      <x:c r="Q24" s="81" t="str">
        <x:v>Aumento estimado; evidencia insuficiente</x:v>
      </x:c>
    </x:row>
    <x:row r="25" ht="28" customHeight="1">
      <x:c r="A25" s="82" t="str">
        <x:v>Máxima diurna</x:v>
      </x:c>
      <x:c r="B25" s="24" t="n">
        <x:v>29.35820895522388</x:v>
      </x:c>
      <x:c r="C25" s="24" t="n">
        <x:v>29.77777777777778</x:v>
      </x:c>
      <x:c r="D25" s="24" t="n">
        <x:f>C25-B25</x:f>
        <x:v>0.4195688225538987</x:v>
      </x:c>
      <x:c r="E25" s="24" t="n">
        <x:v>30.12686567164179</x:v>
      </x:c>
      <x:c r="F25" s="24" t="n">
        <x:v>32.99999999999999</x:v>
      </x:c>
      <x:c r="G25" s="24" t="n">
        <x:f>F25-E25</x:f>
        <x:v>2.8731343283582014</x:v>
      </x:c>
      <x:c r="H25" s="24" t="n">
        <x:f>G25-D25</x:f>
        <x:v>2.4535655058043027</x:v>
      </x:c>
      <x:c r="I25" s="24" t="n">
        <x:v>2.316763678696158</x:v>
      </x:c>
      <x:c r="J25" s="24" t="n">
        <x:v>0.8524471610413644</x:v>
      </x:c>
      <x:c r="K25" s="24" t="n">
        <x:v>4.006442850294532</x:v>
      </x:c>
      <x:c r="L25" s="83" t="n">
        <x:v>0.019903960192079614</x:v>
      </x:c>
      <x:c r="M25" s="83" t="n">
        <x:v>0.047831904336191326</x:v>
      </x:c>
      <x:c r="N25" s="83" t="n">
        <x:v>0.012532915569481017</x:v>
      </x:c>
      <x:c r="O25" s="83" t="n">
        <x:v>0.019966001133295556</x:v>
      </x:c>
      <x:c r="P25" s="84" t="n">
        <x:v>1</x:v>
      </x:c>
      <x:c r="Q25" s="85" t="str">
        <x:v>Evidencia robusta tras multiplicidad</x:v>
      </x:c>
    </x:row>
    <x:row r="26" ht="28" customHeight="1">
      <x:c r="A26" s="82" t="str">
        <x:v>Mínima nocturna</x:v>
      </x:c>
      <x:c r="B26" s="24" t="n">
        <x:v>15.70597014925373</x:v>
      </x:c>
      <x:c r="C26" s="24" t="n">
        <x:v>17.355555555555554</x:v>
      </x:c>
      <x:c r="D26" s="24" t="n">
        <x:f>C26-B26</x:f>
        <x:v>1.6495854063018243</x:v>
      </x:c>
      <x:c r="E26" s="24" t="n">
        <x:v>16.2955223880597</x:v>
      </x:c>
      <x:c r="F26" s="24" t="n">
        <x:v>18.111111111111107</x:v>
      </x:c>
      <x:c r="G26" s="24" t="n">
        <x:f>F26-E26</x:f>
        <x:v>1.8155887230514054</x:v>
      </x:c>
      <x:c r="H26" s="24" t="n">
        <x:f>G26-D26</x:f>
        <x:v>0.16600331674958113</x:v>
      </x:c>
      <x:c r="I26" s="24" t="n">
        <x:v>0.08591385331781082</x:v>
      </x:c>
      <x:c r="J26" s="24" t="n">
        <x:v>-1.2722124182132843</x:v>
      </x:c>
      <x:c r="K26" s="24" t="n">
        <x:v>1.364122291029679</x:v>
      </x:c>
      <x:c r="L26" s="83" t="n">
        <x:v>0.44723910552178897</x:v>
      </x:c>
      <x:c r="M26" s="83" t="n">
        <x:v>0.6805146389707221</x:v>
      </x:c>
      <x:c r="N26" s="83" t="n">
        <x:v>0.46241791940268656</x:v>
      </x:c>
      <x:c r="O26" s="83" t="n">
        <x:v>0.6910769641011967</x:v>
      </x:c>
      <x:c r="P26" s="84" t="n">
        <x:v>0.576271186440678</x:v>
      </x:c>
      <x:c r="Q26" s="85" t="str">
        <x:v>Aumento estimado; evidencia insuficiente</x:v>
      </x:c>
    </x:row>
    <x:row r="27" ht="28" customHeight="1">
      <x:c r="A27" s="86" t="str">
        <x:v>Temperatura aparente media</x:v>
      </x:c>
      <x:c r="B27" s="27" t="n">
        <x:v>22.32815609452736</x:v>
      </x:c>
      <x:c r="C27" s="27" t="n">
        <x:v>23.907754629629633</x:v>
      </x:c>
      <x:c r="D27" s="27" t="n">
        <x:f>C27-B27</x:f>
        <x:v>1.5795985351022743</x:v>
      </x:c>
      <x:c r="E27" s="27" t="n">
        <x:v>22.86386815920398</x:v>
      </x:c>
      <x:c r="F27" s="27" t="n">
        <x:v>25.282523148148147</x:v>
      </x:c>
      <x:c r="G27" s="27" t="n">
        <x:f>F27-E27</x:f>
        <x:v>2.4186549889441658</x:v>
      </x:c>
      <x:c r="H27" s="27" t="n">
        <x:f>G27-D27</x:f>
        <x:v>0.8390564538418914</x:v>
      </x:c>
      <x:c r="I27" s="27" t="n">
        <x:v>0.696737970508344</x:v>
      </x:c>
      <x:c r="J27" s="27" t="n">
        <x:v>-0.5488589999651889</x:v>
      </x:c>
      <x:c r="K27" s="27" t="n">
        <x:v>1.8852115872442667</x:v>
      </x:c>
      <x:c r="L27" s="87" t="n">
        <x:v>0.15889168221663558</x:v>
      </x:c>
      <x:c r="M27" s="87" t="n">
        <x:v>0.3147813704372591</x:v>
      </x:c>
      <x:c r="N27" s="87" t="n">
        <x:v>0.14409519682677244</x:v>
      </x:c>
      <x:c r="O27" s="87" t="n">
        <x:v>0.3008899703343222</x:v>
      </x:c>
      <x:c r="P27" s="88" t="n">
        <x:v>0.8644067796610169</x:v>
      </x:c>
      <x:c r="Q27" s="89" t="str">
        <x:v>Aumento estimado; evidencia insuficiente</x:v>
      </x:c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</x:row>
    <x:row r="30">
      <x:c r="A30" s="75" t="str">
        <x:v>Comparación descriptiva solicitada: 2016–2025 frente a la serie completa 1950–2025</x:v>
      </x:c>
      <x:c r="B30" s="76"/>
      <x:c r="C30" s="76"/>
      <x:c r="D30" s="76"/>
      <x:c r="E30" s="76"/>
      <x:c r="F30" s="76"/>
      <x:c r="G30" s="76"/>
      <x:c r="H30" s="77"/>
      <x:c r="I30" s="13"/>
      <x:c r="J30" s="13"/>
      <x:c r="K30" s="13"/>
      <x:c r="L30" s="13"/>
      <x:c r="M30" s="13"/>
      <x:c r="N30" s="13"/>
      <x:c r="O30" s="13"/>
      <x:c r="P30" s="13"/>
      <x:c r="Q30" s="13"/>
    </x:row>
    <x:row r="31">
      <x:c r="A31" s="8" t="str">
        <x:v>Variable</x:v>
      </x:c>
      <x:c r="B31" s="8" t="str">
        <x:v>Media A completa</x:v>
      </x:c>
      <x:c r="C31" s="8" t="str">
        <x:v>Media A reciente</x:v>
      </x:c>
      <x:c r="D31" s="8" t="str">
        <x:v>Cambio A</x:v>
      </x:c>
      <x:c r="E31" s="8" t="str">
        <x:v>Media B completa</x:v>
      </x:c>
      <x:c r="F31" s="8" t="str">
        <x:v>Media B reciente</x:v>
      </x:c>
      <x:c r="G31" s="8" t="str">
        <x:v>Cambio B</x:v>
      </x:c>
      <x:c r="H31" s="8" t="str">
        <x:v>DiD frente a serie completa</x:v>
      </x:c>
      <x:c r="I31" s="13"/>
      <x:c r="J31" s="13"/>
      <x:c r="K31" s="13"/>
      <x:c r="L31" s="13"/>
      <x:c r="M31" s="13"/>
      <x:c r="N31" s="13"/>
      <x:c r="O31" s="13"/>
      <x:c r="P31" s="13"/>
      <x:c r="Q31" s="13"/>
    </x:row>
    <x:row r="32">
      <x:c r="A32" s="78" t="str">
        <x:v>Temperatura media</x:v>
      </x:c>
      <x:c r="B32" s="21" t="n">
        <x:v>21.930811403508766</x:v>
      </x:c>
      <x:c r="C32" s="21" t="n">
        <x:v>22.913125</x:v>
      </x:c>
      <x:c r="D32" s="21" t="n">
        <x:f>C32-B32</x:f>
        <x:v>0.9823135964912346</x:v>
      </x:c>
      <x:c r="E32" s="21" t="n">
        <x:v>22.650246710526318</x:v>
      </x:c>
      <x:c r="F32" s="21" t="n">
        <x:v>24.4778125</x:v>
      </x:c>
      <x:c r="G32" s="21" t="n">
        <x:f>F32-E32</x:f>
        <x:v>1.827565789473681</x:v>
      </x:c>
      <x:c r="H32" s="21" t="n">
        <x:f>G32-D32</x:f>
        <x:v>0.8452521929824464</x:v>
      </x:c>
      <x:c r="I32" s="13"/>
      <x:c r="J32" s="13"/>
      <x:c r="K32" s="13"/>
      <x:c r="L32" s="13"/>
      <x:c r="M32" s="13"/>
      <x:c r="N32" s="13"/>
      <x:c r="O32" s="13"/>
      <x:c r="P32" s="13"/>
      <x:c r="Q32" s="13"/>
    </x:row>
    <x:row r="33">
      <x:c r="A33" s="82" t="str">
        <x:v>Máxima diurna</x:v>
      </x:c>
      <x:c r="B33" s="24" t="n">
        <x:v>29.4078947368421</x:v>
      </x:c>
      <x:c r="C33" s="24" t="n">
        <x:v>30.330000000000002</x:v>
      </x:c>
      <x:c r="D33" s="24" t="n">
        <x:f>C33-B33</x:f>
        <x:v>0.9221052631579028</x:v>
      </x:c>
      <x:c r="E33" s="24" t="n">
        <x:v>30.46710526315789</x:v>
      </x:c>
      <x:c r="F33" s="24" t="n">
        <x:v>33.05</x:v>
      </x:c>
      <x:c r="G33" s="24" t="n">
        <x:f>F33-E33</x:f>
        <x:v>2.582894736842107</x:v>
      </x:c>
      <x:c r="H33" s="24" t="n">
        <x:f>G33-D33</x:f>
        <x:v>1.6607894736842042</x:v>
      </x:c>
      <x:c r="I33" s="13"/>
      <x:c r="J33" s="13"/>
      <x:c r="K33" s="13"/>
      <x:c r="L33" s="13"/>
      <x:c r="M33" s="13"/>
      <x:c r="N33" s="13"/>
      <x:c r="O33" s="13"/>
      <x:c r="P33" s="13"/>
      <x:c r="Q33" s="13"/>
    </x:row>
    <x:row r="34">
      <x:c r="A34" s="82" t="str">
        <x:v>Mínima nocturna</x:v>
      </x:c>
      <x:c r="B34" s="24" t="n">
        <x:v>15.901315789473681</x:v>
      </x:c>
      <x:c r="C34" s="24" t="n">
        <x:v>17.389999999999997</x:v>
      </x:c>
      <x:c r="D34" s="24" t="n">
        <x:f>C34-B34</x:f>
        <x:v>1.4886842105263156</x:v>
      </x:c>
      <x:c r="E34" s="24" t="n">
        <x:v>16.510526315789473</x:v>
      </x:c>
      <x:c r="F34" s="24" t="n">
        <x:v>18.130000000000003</x:v>
      </x:c>
      <x:c r="G34" s="24" t="n">
        <x:f>F34-E34</x:f>
        <x:v>1.6194736842105293</x:v>
      </x:c>
      <x:c r="H34" s="24" t="n">
        <x:f>G34-D34</x:f>
        <x:v>0.13078947368421368</x:v>
      </x:c>
      <x:c r="I34" s="13"/>
      <x:c r="J34" s="13"/>
      <x:c r="K34" s="13"/>
      <x:c r="L34" s="13"/>
      <x:c r="M34" s="13"/>
      <x:c r="N34" s="13"/>
      <x:c r="O34" s="13"/>
      <x:c r="P34" s="13"/>
      <x:c r="Q34" s="13"/>
    </x:row>
    <x:row r="35">
      <x:c r="A35" s="86" t="str">
        <x:v>Temperatura aparente media</x:v>
      </x:c>
      <x:c r="B35" s="27" t="n">
        <x:v>22.515213815789473</x:v>
      </x:c>
      <x:c r="C35" s="27" t="n">
        <x:v>24.03604166666667</x:v>
      </x:c>
      <x:c r="D35" s="27" t="n">
        <x:f>C35-B35</x:f>
        <x:v>1.5208278508771969</x:v>
      </x:c>
      <x:c r="E35" s="27" t="n">
        <x:v>23.15028782894737</x:v>
      </x:c>
      <x:c r="F35" s="27" t="n">
        <x:v>25.386041666666664</x:v>
      </x:c>
      <x:c r="G35" s="27" t="n">
        <x:f>F35-E35</x:f>
        <x:v>2.235753837719294</x:v>
      </x:c>
      <x:c r="H35" s="27" t="n">
        <x:f>G35-D35</x:f>
        <x:v>0.714925986842097</x:v>
      </x:c>
      <x:c r="I35" s="13"/>
      <x:c r="J35" s="13"/>
      <x:c r="K35" s="13"/>
      <x:c r="L35" s="13"/>
      <x:c r="M35" s="13"/>
      <x:c r="N35" s="13"/>
      <x:c r="O35" s="13"/>
      <x:c r="P35" s="13"/>
      <x:c r="Q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</x:row>
    <x:row r="38">
      <x:c r="A38" s="75" t="str">
        <x:v>Pruebas globales maxT sobre las cuatro variables</x:v>
      </x:c>
      <x:c r="B38" s="76"/>
      <x:c r="C38" s="76"/>
      <x:c r="D38" s="76"/>
      <x:c r="E38" s="76"/>
      <x:c r="F38" s="77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</x:row>
    <x:row r="39">
      <x:c r="A39" s="8" t="str">
        <x:v>Periodo reciente</x:v>
      </x:c>
      <x:c r="B39" s="8" t="str">
        <x:v>Rep. permutación</x:v>
      </x:c>
      <x:c r="C39" s="8" t="str">
        <x:v>Espacio posible</x:v>
      </x:c>
      <x:c r="D39" s="8" t="str">
        <x:v>p global permutación</x:v>
      </x:c>
      <x:c r="E39" s="8" t="str">
        <x:v>p global bootstrap</x:v>
      </x:c>
      <x:c r="F39" s="8" t="str">
        <x:v>Lectura</x:v>
      </x:c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</x:row>
    <x:row r="40">
      <x:c r="A40" s="78" t="str">
        <x:v>2016–2025</x:v>
      </x:c>
      <x:c r="B40" s="90" t="n">
        <x:v>500000</x:v>
      </x:c>
      <x:c r="C40" s="90" t="n">
        <x:v>2214451250</x:v>
      </x:c>
      <x:c r="D40" s="79" t="n">
        <x:v>0.12157175685648629</x:v>
      </x:c>
      <x:c r="E40" s="79" t="n">
        <x:v>0.08556381453951535</x:v>
      </x:c>
      <x:c r="F40" s="78" t="str">
        <x:v>Principal: no concluyente al 5%</x:v>
      </x:c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</x:row>
    <x:row r="41">
      <x:c r="A41" s="82" t="str">
        <x:v>2015–2025</x:v>
      </x:c>
      <x:c r="B41" s="91" t="n">
        <x:v>500000</x:v>
      </x:c>
      <x:c r="C41" s="91" t="n">
        <x:v>11072256250</x:v>
      </x:c>
      <x:c r="D41" s="83" t="n">
        <x:v>0.0674238651522697</x:v>
      </x:c>
      <x:c r="E41" s="83" t="n">
        <x:v>0.0327989067031099</x:v>
      </x:c>
      <x:c r="F41" s="82" t="str">
        <x:v>Resultados mixtos según método</x:v>
      </x:c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</x:row>
    <x:row r="42">
      <x:c r="A42" s="86" t="str">
        <x:v>2017–2025</x:v>
      </x:c>
      <x:c r="B42" s="92" t="n">
        <x:v>500000</x:v>
      </x:c>
      <x:c r="C42" s="92" t="n">
        <x:v>442890250</x:v>
      </x:c>
      <x:c r="D42" s="87" t="n">
        <x:v>0.047831904336191326</x:v>
      </x:c>
      <x:c r="E42" s="87" t="n">
        <x:v>0.019966001133295556</x:v>
      </x:c>
      <x:c r="F42" s="86" t="str">
        <x:v>Significativa; impulsada por Tmax</x:v>
      </x:c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</x:row>
  </x:sheetData>
  <x:conditionalFormatting sqref="I8:I11">
    <x:cfRule type="cellIs" dxfId="0" priority="1" operator="greaterThan">
      <x:formula>0</x:formula>
    </x:cfRule>
  </x:conditionalFormatting>
  <x:conditionalFormatting sqref="M8:O11">
    <x:cfRule type="cellIs" dxfId="1" priority="2" operator="lessThan">
      <x:formula>0.05</x:formula>
    </x:cfRule>
    <x:cfRule type="cellIs" dxfId="2" priority="3" operator="between">
      <x:formula>0.05</x:formula>
      <x:formula>0.1</x:formula>
    </x:cfRule>
  </x:conditionalFormatting>
  <x:conditionalFormatting sqref="I16:I19">
    <x:cfRule type="cellIs" dxfId="3" priority="4" operator="greaterThan">
      <x:formula>0</x:formula>
    </x:cfRule>
  </x:conditionalFormatting>
  <x:conditionalFormatting sqref="M16:O19">
    <x:cfRule type="cellIs" dxfId="4" priority="5" operator="lessThan">
      <x:formula>0.05</x:formula>
    </x:cfRule>
    <x:cfRule type="cellIs" dxfId="5" priority="6" operator="between">
      <x:formula>0.05</x:formula>
      <x:formula>0.1</x:formula>
    </x:cfRule>
  </x:conditionalFormatting>
  <x:conditionalFormatting sqref="I24:I27">
    <x:cfRule type="cellIs" dxfId="6" priority="7" operator="greaterThan">
      <x:formula>0</x:formula>
    </x:cfRule>
  </x:conditionalFormatting>
  <x:conditionalFormatting sqref="M24:O27">
    <x:cfRule type="cellIs" dxfId="7" priority="8" operator="lessThan">
      <x:formula>0.05</x:formula>
    </x:cfRule>
    <x:cfRule type="cellIs" dxfId="8" priority="9" operator="between">
      <x:formula>0.05</x:formula>
      <x:formula>0.1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758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10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2">
      <x:c r="A2" s="196" t="str">
        <x:v>Análisis de sensibilidad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</x:row>
    <x:row r="4">
      <x:c r="A4" s="14" t="str">
        <x:v>Estabilidad por exclusión de años, solapamiento de fechas, mediana, tendencia temporal y longitudes de bloque 3, 5 y 7.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</x:row>
    <x:row r="6">
      <x:c r="A6" s="8" t="str">
        <x:v>Periodo</x:v>
      </x:c>
      <x:c r="B6" s="8" t="str">
        <x:v>Variable</x:v>
      </x:c>
      <x:c r="C6" s="8" t="str">
        <x:v>LOO mínimo</x:v>
      </x:c>
      <x:c r="D6" s="8" t="str">
        <x:v>LOO máximo</x:v>
      </x:c>
      <x:c r="E6" s="8" t="str">
        <x:v>LOO positivas</x:v>
      </x:c>
      <x:c r="F6" s="8" t="str">
        <x:v>Mediana ajustada</x:v>
      </x:c>
      <x:c r="G6" s="8" t="str">
        <x:v>n sin solapamiento</x:v>
      </x:c>
      <x:c r="H6" s="8" t="str">
        <x:v>Efecto sin solapamiento</x:v>
      </x:c>
      <x:c r="I6" s="8" t="str">
        <x:v>Tendencia/decenio</x:v>
      </x:c>
      <x:c r="J6" s="8" t="str">
        <x:v>IC tendencia bajo</x:v>
      </x:c>
      <x:c r="K6" s="8" t="str">
        <x:v>IC tendencia alto</x:v>
      </x:c>
      <x:c r="L6" s="8" t="str">
        <x:v>p tendencia</x:v>
      </x:c>
      <x:c r="M6" s="8" t="str">
        <x:v>p bloque L3</x:v>
      </x:c>
      <x:c r="N6" s="8" t="str">
        <x:v>p bloque L5</x:v>
      </x:c>
      <x:c r="O6" s="8" t="str">
        <x:v>p bloque L7</x:v>
      </x:c>
      <x:c r="P6" s="8" t="str">
        <x:v>p maxT L3</x:v>
      </x:c>
      <x:c r="Q6" s="8" t="str">
        <x:v>p maxT L5</x:v>
      </x:c>
      <x:c r="R6" s="8" t="str">
        <x:v>p maxT L7</x:v>
      </x:c>
    </x:row>
    <x:row r="7">
      <x:c r="A7" s="78" t="str">
        <x:v>2015–2025</x:v>
      </x:c>
      <x:c r="B7" s="78" t="str">
        <x:v>Temperatura media</x:v>
      </x:c>
      <x:c r="C7" s="21" t="n">
        <x:v>0.8863617181947399</x:v>
      </x:c>
      <x:c r="D7" s="21" t="n">
        <x:v>1.3741215796019897</x:v>
      </x:c>
      <x:c r="E7" s="78" t="str">
        <x:v>11/11</x:v>
      </x:c>
      <x:c r="F7" s="21" t="n">
        <x:v>1.3686458333333331</x:v>
      </x:c>
      <x:c r="G7" s="78" t="n">
        <x:v>7</x:v>
      </x:c>
      <x:c r="H7" s="21" t="n">
        <x:v>1.5154848069900881</x:v>
      </x:c>
      <x:c r="I7" s="21" t="n">
        <x:v>0.023352776809326632</x:v>
      </x:c>
      <x:c r="J7" s="21" t="n">
        <x:v>-0.14389511619143153</x:v>
      </x:c>
      <x:c r="K7" s="21" t="n">
        <x:v>0.19060066981008478</x:v>
      </x:c>
      <x:c r="L7" s="79" t="n">
        <x:v>0.390688413658388</x:v>
      </x:c>
      <x:c r="M7" s="79" t="n">
        <x:v>0.018799373354221525</x:v>
      </x:c>
      <x:c r="N7" s="79" t="n">
        <x:v>0.015766141128629046</x:v>
      </x:c>
      <x:c r="O7" s="79" t="n">
        <x:v>0.01129962334588847</x:v>
      </x:c>
      <x:c r="P7" s="79" t="n">
        <x:v>0.060031332288923704</x:v>
      </x:c>
      <x:c r="Q7" s="79" t="n">
        <x:v>0.05779807339755341</x:v>
      </x:c>
      <x:c r="R7" s="79" t="n">
        <x:v>0.05383153894870171</x:v>
      </x:c>
    </x:row>
    <x:row r="8">
      <x:c r="A8" s="82" t="str">
        <x:v>2015–2025</x:v>
      </x:c>
      <x:c r="B8" s="82" t="str">
        <x:v>Máxima diurna</x:v>
      </x:c>
      <x:c r="C8" s="24" t="n">
        <x:v>1.3636460554371004</x:v>
      </x:c>
      <x:c r="D8" s="24" t="n">
        <x:v>2.514072494669509</x:v>
      </x:c>
      <x:c r="E8" s="82" t="str">
        <x:v>11/11</x:v>
      </x:c>
      <x:c r="F8" s="24" t="n">
        <x:v>0.8399999999999995</x:v>
      </x:c>
      <x:c r="G8" s="82" t="n">
        <x:v>7</x:v>
      </x:c>
      <x:c r="H8" s="24" t="n">
        <x:v>3.1691705790297346</x:v>
      </x:c>
      <x:c r="I8" s="24" t="n">
        <x:v>0.18555146098642034</x:v>
      </x:c>
      <x:c r="J8" s="24" t="n">
        <x:v>-0.08923666673488795</x:v>
      </x:c>
      <x:c r="K8" s="24" t="n">
        <x:v>0.4603395887077286</x:v>
      </x:c>
      <x:c r="L8" s="83" t="n">
        <x:v>0.09115464094470978</x:v>
      </x:c>
      <x:c r="M8" s="83" t="n">
        <x:v>0.015766141128629046</x:v>
      </x:c>
      <x:c r="N8" s="83" t="n">
        <x:v>0.01873270890970301</x:v>
      </x:c>
      <x:c r="O8" s="83" t="n">
        <x:v>0.018432718909369688</x:v>
      </x:c>
      <x:c r="P8" s="83" t="n">
        <x:v>0.03219892670244325</x:v>
      </x:c>
      <x:c r="Q8" s="83" t="n">
        <x:v>0.0327989067031099</x:v>
      </x:c>
      <x:c r="R8" s="83" t="n">
        <x:v>0.02986567114429519</x:v>
      </x:c>
    </x:row>
    <x:row r="9">
      <x:c r="A9" s="82" t="str">
        <x:v>2015–2025</x:v>
      </x:c>
      <x:c r="B9" s="82" t="str">
        <x:v>Mínima nocturna</x:v>
      </x:c>
      <x:c r="C9" s="24" t="n">
        <x:v>-0.022494669509595087</x:v>
      </x:c>
      <x:c r="D9" s="24" t="n">
        <x:v>0.7057569296375261</x:v>
      </x:c>
      <x:c r="E9" s="82" t="str">
        <x:v>10/11</x:v>
      </x:c>
      <x:c r="F9" s="24" t="n">
        <x:v>0.21000000000000013</x:v>
      </x:c>
      <x:c r="G9" s="82" t="n">
        <x:v>7</x:v>
      </x:c>
      <x:c r="H9" s="24" t="n">
        <x:v>0.2954616588419401</x:v>
      </x:c>
      <x:c r="I9" s="24" t="n">
        <x:v>-0.06833140267942284</x:v>
      </x:c>
      <x:c r="J9" s="24" t="n">
        <x:v>-0.247918895646056</x:v>
      </x:c>
      <x:c r="K9" s="24" t="n">
        <x:v>0.11125609028721031</x:v>
      </x:c>
      <x:c r="L9" s="83" t="n">
        <x:v>0.7748387845019562</x:v>
      </x:c>
      <x:c r="M9" s="83" t="n">
        <x:v>0.29735675477484086</x:v>
      </x:c>
      <x:c r="N9" s="83" t="n">
        <x:v>0.3066231125629146</x:v>
      </x:c>
      <x:c r="O9" s="83" t="n">
        <x:v>0.3147228425719143</x:v>
      </x:c>
      <x:c r="P9" s="83" t="n">
        <x:v>0.5144161861271291</x:v>
      </x:c>
      <x:c r="Q9" s="83" t="n">
        <x:v>0.530682310589647</x:v>
      </x:c>
      <x:c r="R9" s="83" t="n">
        <x:v>0.5413152894903503</x:v>
      </x:c>
    </x:row>
    <x:row r="10">
      <x:c r="A10" s="82" t="str">
        <x:v>2015–2025</x:v>
      </x:c>
      <x:c r="B10" s="82" t="str">
        <x:v>Temperatura aparente media</x:v>
      </x:c>
      <x:c r="C10" s="24" t="n">
        <x:v>0.7005452647476906</x:v>
      </x:c>
      <x:c r="D10" s="24" t="n">
        <x:v>1.0940653873489696</x:v>
      </x:c>
      <x:c r="E10" s="82" t="str">
        <x:v>11/11</x:v>
      </x:c>
      <x:c r="F10" s="24" t="n">
        <x:v>0.8678240740740759</x:v>
      </x:c>
      <x:c r="G10" s="82" t="n">
        <x:v>7</x:v>
      </x:c>
      <x:c r="H10" s="24" t="n">
        <x:v>1.3258965832029215</x:v>
      </x:c>
      <x:c r="I10" s="24" t="n">
        <x:v>0.006391047597387768</x:v>
      </x:c>
      <x:c r="J10" s="24" t="n">
        <x:v>-0.16183795436616571</x:v>
      </x:c>
      <x:c r="K10" s="24" t="n">
        <x:v>0.17462004956094124</x:v>
      </x:c>
      <x:c r="L10" s="83" t="n">
        <x:v>0.4698971447230448</x:v>
      </x:c>
      <x:c r="M10" s="83" t="n">
        <x:v>0.0506649778340722</x:v>
      </x:c>
      <x:c r="N10" s="83" t="n">
        <x:v>0.04539848671710943</x:v>
      </x:c>
      <x:c r="O10" s="83" t="n">
        <x:v>0.03993200226659111</x:v>
      </x:c>
      <x:c r="P10" s="83" t="n">
        <x:v>0.13096230125662478</x:v>
      </x:c>
      <x:c r="Q10" s="83" t="n">
        <x:v>0.12982900569981</x:v>
      </x:c>
      <x:c r="R10" s="83" t="n">
        <x:v>0.12669577680743976</x:v>
      </x:c>
    </x:row>
    <x:row r="11">
      <x:c r="A11" s="170" t="str">
        <x:v>2016–2025</x:v>
      </x:c>
      <x:c r="B11" s="170" t="str">
        <x:v>Temperatura media</x:v>
      </x:c>
      <x:c r="C11" s="29" t="n">
        <x:v>0.6302253302253294</x:v>
      </x:c>
      <x:c r="D11" s="29" t="n">
        <x:v>1.101215277777777</x:v>
      </x:c>
      <x:c r="E11" s="170" t="str">
        <x:v>10/10</x:v>
      </x:c>
      <x:c r="F11" s="29" t="n">
        <x:v>0.8197974537037025</x:v>
      </x:c>
      <x:c r="G11" s="170" t="n">
        <x:v>6</x:v>
      </x:c>
      <x:c r="H11" s="29" t="n">
        <x:v>1.1168362403100762</x:v>
      </x:c>
      <x:c r="I11" s="29" t="n">
        <x:v>0.023352776809326632</x:v>
      </x:c>
      <x:c r="J11" s="29" t="n">
        <x:v>-0.14389511619143153</x:v>
      </x:c>
      <x:c r="K11" s="29" t="n">
        <x:v>0.19060066981008478</x:v>
      </x:c>
      <x:c r="L11" s="171" t="n">
        <x:v>0.390688413658388</x:v>
      </x:c>
      <x:c r="M11" s="171" t="n">
        <x:v>0.07373087563747875</x:v>
      </x:c>
      <x:c r="N11" s="171" t="n">
        <x:v>0.07086430452318256</x:v>
      </x:c>
      <x:c r="O11" s="171" t="n">
        <x:v>0.06496450118329389</x:v>
      </x:c>
      <x:c r="P11" s="171" t="n">
        <x:v>0.17179427352421586</x:v>
      </x:c>
      <x:c r="Q11" s="171" t="n">
        <x:v>0.17746075130828973</x:v>
      </x:c>
      <x:c r="R11" s="171" t="n">
        <x:v>0.16766107796406787</x:v>
      </x:c>
    </x:row>
    <x:row r="12">
      <x:c r="A12" s="170" t="str">
        <x:v>2016–2025</x:v>
      </x:c>
      <x:c r="B12" s="170" t="str">
        <x:v>Máxima diurna</x:v>
      </x:c>
      <x:c r="C12" s="29" t="n">
        <x:v>1.0175990675990678</x:v>
      </x:c>
      <x:c r="D12" s="29" t="n">
        <x:v>2.275291375291374</x:v>
      </x:c>
      <x:c r="E12" s="170" t="str">
        <x:v>10/10</x:v>
      </x:c>
      <x:c r="F12" s="29" t="n">
        <x:v>0.7311111111111095</x:v>
      </x:c>
      <x:c r="G12" s="170" t="n">
        <x:v>6</x:v>
      </x:c>
      <x:c r="H12" s="29" t="n">
        <x:v>2.896422182468694</x:v>
      </x:c>
      <x:c r="I12" s="29" t="n">
        <x:v>0.18555146098642034</x:v>
      </x:c>
      <x:c r="J12" s="29" t="n">
        <x:v>-0.08923666673488795</x:v>
      </x:c>
      <x:c r="K12" s="29" t="n">
        <x:v>0.4603395887077286</x:v>
      </x:c>
      <x:c r="L12" s="171" t="n">
        <x:v>0.09115464094470978</x:v>
      </x:c>
      <x:c r="M12" s="171" t="n">
        <x:v>0.03459884670510983</x:v>
      </x:c>
      <x:c r="N12" s="171" t="n">
        <x:v>0.04203193226892437</x:v>
      </x:c>
      <x:c r="O12" s="171" t="n">
        <x:v>0.03926535782140595</x:v>
      </x:c>
      <x:c r="P12" s="171" t="n">
        <x:v>0.07269757674744175</x:v>
      </x:c>
      <x:c r="Q12" s="171" t="n">
        <x:v>0.08556381453951535</x:v>
      </x:c>
      <x:c r="R12" s="171" t="n">
        <x:v>0.07489750341655278</x:v>
      </x:c>
    </x:row>
    <x:row r="13">
      <x:c r="A13" s="170" t="str">
        <x:v>2016–2025</x:v>
      </x:c>
      <x:c r="B13" s="170" t="str">
        <x:v>Mínima nocturna</x:v>
      </x:c>
      <x:c r="C13" s="29" t="n">
        <x:v>-0.3509324009324011</x:v>
      </x:c>
      <x:c r="D13" s="29" t="n">
        <x:v>0.4452214452214447</x:v>
      </x:c>
      <x:c r="E13" s="170" t="str">
        <x:v>7/10</x:v>
      </x:c>
      <x:c r="F13" s="29" t="n">
        <x:v>-0.09499999999999895</x:v>
      </x:c>
      <x:c r="G13" s="170" t="n">
        <x:v>6</x:v>
      </x:c>
      <x:c r="H13" s="29" t="n">
        <x:v>-0.1631484794275491</x:v>
      </x:c>
      <x:c r="I13" s="29" t="n">
        <x:v>-0.06833140267942284</x:v>
      </x:c>
      <x:c r="J13" s="29" t="n">
        <x:v>-0.247918895646056</x:v>
      </x:c>
      <x:c r="K13" s="29" t="n">
        <x:v>0.11125609028721031</x:v>
      </x:c>
      <x:c r="L13" s="171" t="n">
        <x:v>0.7748387845019562</x:v>
      </x:c>
      <x:c r="M13" s="171" t="n">
        <x:v>0.4794506849771674</x:v>
      </x:c>
      <x:c r="N13" s="171" t="n">
        <x:v>0.48268391053631543</x:v>
      </x:c>
      <x:c r="O13" s="171" t="n">
        <x:v>0.49171694276857436</x:v>
      </x:c>
      <x:c r="P13" s="171" t="n">
        <x:v>0.7121095963467884</x:v>
      </x:c>
      <x:c r="Q13" s="171" t="n">
        <x:v>0.7105096496783441</x:v>
      </x:c>
      <x:c r="R13" s="171" t="n">
        <x:v>0.7147095096830106</x:v>
      </x:c>
    </x:row>
    <x:row r="14">
      <x:c r="A14" s="170" t="str">
        <x:v>2016–2025</x:v>
      </x:c>
      <x:c r="B14" s="170" t="str">
        <x:v>Temperatura aparente media</x:v>
      </x:c>
      <x:c r="C14" s="29" t="n">
        <x:v>0.45486839549339597</x:v>
      </x:c>
      <x:c r="D14" s="29" t="n">
        <x:v>0.7836708430458434</x:v>
      </x:c>
      <x:c r="E14" s="170" t="str">
        <x:v>10/10</x:v>
      </x:c>
      <x:c r="F14" s="29" t="n">
        <x:v>0.5421932870370396</x:v>
      </x:c>
      <x:c r="G14" s="170" t="n">
        <x:v>6</x:v>
      </x:c>
      <x:c r="H14" s="29" t="n">
        <x:v>0.8826550387596902</x:v>
      </x:c>
      <x:c r="I14" s="29" t="n">
        <x:v>0.006391047597387768</x:v>
      </x:c>
      <x:c r="J14" s="29" t="n">
        <x:v>-0.16183795436616571</x:v>
      </x:c>
      <x:c r="K14" s="29" t="n">
        <x:v>0.17462004956094124</x:v>
      </x:c>
      <x:c r="L14" s="171" t="n">
        <x:v>0.4698971447230448</x:v>
      </x:c>
      <x:c r="M14" s="171" t="n">
        <x:v>0.14776174127529082</x:v>
      </x:c>
      <x:c r="N14" s="171" t="n">
        <x:v>0.1476284123862538</x:v>
      </x:c>
      <x:c r="O14" s="171" t="n">
        <x:v>0.14086197126762443</x:v>
      </x:c>
      <x:c r="P14" s="171" t="n">
        <x:v>0.3001566614446185</x:v>
      </x:c>
      <x:c r="Q14" s="171" t="n">
        <x:v>0.3063564547848405</x:v>
      </x:c>
      <x:c r="R14" s="171" t="n">
        <x:v>0.29885670477650744</x:v>
      </x:c>
    </x:row>
    <x:row r="15">
      <x:c r="A15" s="82" t="str">
        <x:v>2017–2025</x:v>
      </x:c>
      <x:c r="B15" s="82" t="str">
        <x:v>Temperatura media</x:v>
      </x:c>
      <x:c r="C15" s="24" t="n">
        <x:v>0.7730344901456716</x:v>
      </x:c>
      <x:c r="D15" s="24" t="n">
        <x:v>1.3464522946859894</x:v>
      </x:c>
      <x:c r="E15" s="82" t="str">
        <x:v>9/9</x:v>
      </x:c>
      <x:c r="F15" s="24" t="n">
        <x:v>1.3686458333333331</x:v>
      </x:c>
      <x:c r="G15" s="82" t="n">
        <x:v>5</x:v>
      </x:c>
      <x:c r="H15" s="24" t="n">
        <x:v>1.4300604558107146</x:v>
      </x:c>
      <x:c r="I15" s="24" t="n">
        <x:v>0.023352776809326632</x:v>
      </x:c>
      <x:c r="J15" s="24" t="n">
        <x:v>-0.14389511619143153</x:v>
      </x:c>
      <x:c r="K15" s="24" t="n">
        <x:v>0.19060066981008478</x:v>
      </x:c>
      <x:c r="L15" s="83" t="n">
        <x:v>0.390688413658388</x:v>
      </x:c>
      <x:c r="M15" s="83" t="n">
        <x:v>0.047631745608479714</x:v>
      </x:c>
      <x:c r="N15" s="83" t="n">
        <x:v>0.0431985600479984</x:v>
      </x:c>
      <x:c r="O15" s="83" t="n">
        <x:v>0.040131995600146665</x:v>
      </x:c>
      <x:c r="P15" s="83" t="n">
        <x:v>0.12472917569414353</x:v>
      </x:c>
      <x:c r="Q15" s="83" t="n">
        <x:v>0.12309589680343988</x:v>
      </x:c>
      <x:c r="R15" s="83" t="n">
        <x:v>0.11749608346388454</x:v>
      </x:c>
    </x:row>
    <x:row r="16">
      <x:c r="A16" s="82" t="str">
        <x:v>2017–2025</x:v>
      </x:c>
      <x:c r="B16" s="82" t="str">
        <x:v>Máxima diurna</x:v>
      </x:c>
      <x:c r="C16" s="24" t="n">
        <x:v>1.6093830334190233</x:v>
      </x:c>
      <x:c r="D16" s="24" t="n">
        <x:v>2.9039525691699595</x:v>
      </x:c>
      <x:c r="E16" s="82" t="str">
        <x:v>9/9</x:v>
      </x:c>
      <x:c r="F16" s="24" t="n">
        <x:v>0.8399999999999995</x:v>
      </x:c>
      <x:c r="G16" s="82" t="n">
        <x:v>5</x:v>
      </x:c>
      <x:c r="H16" s="24" t="n">
        <x:v>4.171398747390397</x:v>
      </x:c>
      <x:c r="I16" s="24" t="n">
        <x:v>0.18555146098642034</x:v>
      </x:c>
      <x:c r="J16" s="24" t="n">
        <x:v>-0.08923666673488795</x:v>
      </x:c>
      <x:c r="K16" s="24" t="n">
        <x:v>0.4603395887077286</x:v>
      </x:c>
      <x:c r="L16" s="83" t="n">
        <x:v>0.09115464094470978</x:v>
      </x:c>
      <x:c r="M16" s="83" t="n">
        <x:v>0.010866304456518115</x:v>
      </x:c>
      <x:c r="N16" s="83" t="n">
        <x:v>0.012532915569481017</x:v>
      </x:c>
      <x:c r="O16" s="83" t="n">
        <x:v>0.013032898903369887</x:v>
      </x:c>
      <x:c r="P16" s="83" t="n">
        <x:v>0.022299256691443618</x:v>
      </x:c>
      <x:c r="Q16" s="83" t="n">
        <x:v>0.019966001133295556</x:v>
      </x:c>
      <x:c r="R16" s="83" t="n">
        <x:v>0.01943268557714743</x:v>
      </x:c>
    </x:row>
    <x:row r="17">
      <x:c r="A17" s="82" t="str">
        <x:v>2017–2025</x:v>
      </x:c>
      <x:c r="B17" s="82" t="str">
        <x:v>Mínima nocturna</x:v>
      </x:c>
      <x:c r="C17" s="24" t="n">
        <x:v>-0.34588688946015467</x:v>
      </x:c>
      <x:c r="D17" s="24" t="n">
        <x:v>0.5321336760925442</x:v>
      </x:c>
      <x:c r="E17" s="82" t="str">
        <x:v>6/9</x:v>
      </x:c>
      <x:c r="F17" s="24" t="n">
        <x:v>0.21000000000000013</x:v>
      </x:c>
      <x:c r="G17" s="82" t="n">
        <x:v>5</x:v>
      </x:c>
      <x:c r="H17" s="24" t="n">
        <x:v>-0.12359081419624246</x:v>
      </x:c>
      <x:c r="I17" s="24" t="n">
        <x:v>-0.06833140267942284</x:v>
      </x:c>
      <x:c r="J17" s="24" t="n">
        <x:v>-0.247918895646056</x:v>
      </x:c>
      <x:c r="K17" s="24" t="n">
        <x:v>0.11125609028721031</x:v>
      </x:c>
      <x:c r="L17" s="83" t="n">
        <x:v>0.7748387845019562</x:v>
      </x:c>
      <x:c r="M17" s="83" t="n">
        <x:v>0.45158494716842773</x:v>
      </x:c>
      <x:c r="N17" s="83" t="n">
        <x:v>0.46241791940268656</x:v>
      </x:c>
      <x:c r="O17" s="83" t="n">
        <x:v>0.46515116162794573</x:v>
      </x:c>
      <x:c r="P17" s="83" t="n">
        <x:v>0.6865104496516783</x:v>
      </x:c>
      <x:c r="Q17" s="83" t="n">
        <x:v>0.6910769641011967</x:v>
      </x:c>
      <x:c r="R17" s="83" t="n">
        <x:v>0.6894436852104929</x:v>
      </x:c>
    </x:row>
    <x:row r="18">
      <x:c r="A18" s="86" t="str">
        <x:v>2017–2025</x:v>
      </x:c>
      <x:c r="B18" s="86" t="str">
        <x:v>Temperatura aparente media</x:v>
      </x:c>
      <x:c r="C18" s="27" t="n">
        <x:v>0.4717839545844053</x:v>
      </x:c>
      <x:c r="D18" s="27" t="n">
        <x:v>0.8627003732981999</x:v>
      </x:c>
      <x:c r="E18" s="86" t="str">
        <x:v>9/9</x:v>
      </x:c>
      <x:c r="F18" s="27" t="n">
        <x:v>0.8678240740740759</x:v>
      </x:c>
      <x:c r="G18" s="86" t="n">
        <x:v>5</x:v>
      </x:c>
      <x:c r="H18" s="27" t="n">
        <x:v>0.9815762004175373</x:v>
      </x:c>
      <x:c r="I18" s="27" t="n">
        <x:v>0.006391047597387768</x:v>
      </x:c>
      <x:c r="J18" s="27" t="n">
        <x:v>-0.16183795436616571</x:v>
      </x:c>
      <x:c r="K18" s="27" t="n">
        <x:v>0.17462004956094124</x:v>
      </x:c>
      <x:c r="L18" s="87" t="n">
        <x:v>0.4698971447230448</x:v>
      </x:c>
      <x:c r="M18" s="87" t="n">
        <x:v>0.14566181127295758</x:v>
      </x:c>
      <x:c r="N18" s="87" t="n">
        <x:v>0.14409519682677244</x:v>
      </x:c>
      <x:c r="O18" s="87" t="n">
        <x:v>0.13916202793240226</x:v>
      </x:c>
      <x:c r="P18" s="87" t="n">
        <x:v>0.2985567147761741</x:v>
      </x:c>
      <x:c r="Q18" s="87" t="n">
        <x:v>0.3008899703343222</x:v>
      </x:c>
      <x:c r="R18" s="87" t="n">
        <x:v>0.29872337588747044</x:v>
      </x:c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</x:row>
    <x:row r="21">
      <x:c r="A21" s="75" t="str">
        <x:v>Lectura de robustez</x:v>
      </x:c>
      <x:c r="B21" s="76"/>
      <x:c r="C21" s="76"/>
      <x:c r="D21" s="76"/>
      <x:c r="E21" s="76"/>
      <x:c r="F21" s="77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</x:row>
    <x:row r="22" ht="42" customHeight="1">
      <x:c r="A22" s="172" t="str">
        <x:v>Temperatura media</x:v>
      </x:c>
      <x:c r="B22" s="173" t="str">
        <x:v>El efecto principal es positivo (+0,85 °C ajustados), estable al excluir años, pero los intervalos incluyen cero y las p maxT son &gt;0,05.</x:v>
      </x:c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</x:row>
    <x:row r="23" ht="42" customHeight="1">
      <x:c r="A23" s="174" t="str">
        <x:v>Máxima diurna</x:v>
      </x:c>
      <x:c r="B23" s="175" t="str">
        <x:v>Es la señal dominante. El efecto es positivo en todas las ventanas y exclusiones, pero su significación corregida depende del límite temporal.</x:v>
      </x:c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</x:row>
    <x:row r="24" ht="42" customHeight="1">
      <x:c r="A24" s="174" t="str">
        <x:v>Mínima nocturna</x:v>
      </x:c>
      <x:c r="B24" s="175" t="str">
        <x:v>No presenta un diferencial estable: +0,04 °C en el análisis principal, con estimaciones negativas en controles sin solapamiento o por mediana.</x:v>
      </x:c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</x:row>
    <x:row r="25" ht="42" customHeight="1">
      <x:c r="A25" s="174" t="str">
        <x:v>Temperatura aparente</x:v>
      </x:c>
      <x:c r="B25" s="175" t="str">
        <x:v>El diferencial principal es positivo (+0,66 °C), pero no alcanza evidencia inferencial robusta.</x:v>
      </x:c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</x:row>
    <x:row r="26" ht="42" customHeight="1">
      <x:c r="A26" s="176" t="str">
        <x:v>Tendencia 1950–2025</x:v>
      </x:c>
      <x:c r="B26" s="177" t="str">
        <x:v>Ninguna pendiente anual de B−A es significativa al 5%; un contraste reciente no implica una tendencia diferencial sostenida.</x:v>
      </x:c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F8FA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1" hidden="0" customWidth="1"/>
    <x:col min="3" max="3" width="11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2">
      <x:c r="A2" s="196" t="str">
        <x:v>Ventanas históricas de diez años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3">
      <x:c r="A3" s="14" t="str">
        <x:v>Cada ventana consecutiva de diez años se compara con los demás años históricos y se ajusta por la separación calendárica entre B y A.</x:v>
      </x:c>
      <x:c r="B3" s="14"/>
      <x:c r="C3" s="14"/>
      <x:c r="D3" s="14"/>
      <x:c r="E3" s="14"/>
      <x:c r="F3" s="14"/>
      <x:c r="G3" s="14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</x:row>
    <x:row r="5">
      <x:c r="A5" s="8" t="str">
        <x:v>Ventana</x:v>
      </x:c>
      <x:c r="B5" s="8" t="str">
        <x:v>Inicio</x:v>
      </x:c>
      <x:c r="C5" s="8" t="str">
        <x:v>Fin</x:v>
      </x:c>
      <x:c r="D5" s="8" t="str">
        <x:v>Temperatura media</x:v>
      </x:c>
      <x:c r="E5" s="8" t="str">
        <x:v>Máxima diurna</x:v>
      </x:c>
      <x:c r="F5" s="8" t="str">
        <x:v>Mínima nocturna</x:v>
      </x:c>
      <x:c r="G5" s="8" t="str">
        <x:v>Temperatura aparente media</x:v>
      </x:c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</x:row>
    <x:row r="6">
      <x:c r="A6" s="78" t="str">
        <x:v>1950–1959</x:v>
      </x:c>
      <x:c r="B6" s="78" t="n">
        <x:v>1950</x:v>
      </x:c>
      <x:c r="C6" s="78" t="n">
        <x:v>1959</x:v>
      </x:c>
      <x:c r="D6" s="21" t="n">
        <x:v>0.4904089095744691</x:v>
      </x:c>
      <x:c r="E6" s="21" t="n">
        <x:v>-0.007978723404255225</x:v>
      </x:c>
      <x:c r="F6" s="21" t="n">
        <x:v>0.41303191489361774</x:v>
      </x:c>
      <x:c r="G6" s="21" t="n">
        <x:v>0.5675670434397175</x:v>
      </x:c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</x:row>
    <x:row r="7">
      <x:c r="A7" s="82" t="str">
        <x:v>1951–1960</x:v>
      </x:c>
      <x:c r="B7" s="82" t="n">
        <x:v>1951</x:v>
      </x:c>
      <x:c r="C7" s="82" t="n">
        <x:v>1960</x:v>
      </x:c>
      <x:c r="D7" s="24" t="n">
        <x:v>0.5101690573770503</x:v>
      </x:c>
      <x:c r="E7" s="24" t="n">
        <x:v>0.3210382513661202</x:v>
      </x:c>
      <x:c r="F7" s="24" t="n">
        <x:v>0.588251366120219</x:v>
      </x:c>
      <x:c r="G7" s="24" t="n">
        <x:v>0.5525358606557388</x:v>
      </x:c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</x:row>
    <x:row r="8">
      <x:c r="A8" s="82" t="str">
        <x:v>1952–1961</x:v>
      </x:c>
      <x:c r="B8" s="82" t="n">
        <x:v>1952</x:v>
      </x:c>
      <x:c r="C8" s="82" t="n">
        <x:v>1961</x:v>
      </x:c>
      <x:c r="D8" s="24" t="n">
        <x:v>0.4727622941700055</x:v>
      </x:c>
      <x:c r="E8" s="24" t="n">
        <x:v>0.029906542056074844</x:v>
      </x:c>
      <x:c r="F8" s="24" t="n">
        <x:v>0.4615487316421903</x:v>
      </x:c>
      <x:c r="G8" s="24" t="n">
        <x:v>0.6011028593680472</x:v>
      </x:c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</x:row>
    <x:row r="9">
      <x:c r="A9" s="82" t="str">
        <x:v>1953–1962</x:v>
      </x:c>
      <x:c r="B9" s="82" t="n">
        <x:v>1953</x:v>
      </x:c>
      <x:c r="C9" s="82" t="n">
        <x:v>1962</x:v>
      </x:c>
      <x:c r="D9" s="24" t="n">
        <x:v>0.3833931352915012</x:v>
      </x:c>
      <x:c r="E9" s="24" t="n">
        <x:v>-0.1214953271028032</x:v>
      </x:c>
      <x:c r="F9" s="24" t="n">
        <x:v>0.5108144192256346</x:v>
      </x:c>
      <x:c r="G9" s="24" t="n">
        <x:v>0.5573194815309311</x:v>
      </x:c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</x:row>
    <x:row r="10">
      <x:c r="A10" s="82" t="str">
        <x:v>1954–1963</x:v>
      </x:c>
      <x:c r="B10" s="82" t="n">
        <x:v>1954</x:v>
      </x:c>
      <x:c r="C10" s="82" t="n">
        <x:v>1963</x:v>
      </x:c>
      <x:c r="D10" s="24" t="n">
        <x:v>0.511511394101878</x:v>
      </x:c>
      <x:c r="E10" s="24" t="n">
        <x:v>-0.1265415549597846</x:v>
      </x:c>
      <x:c r="F10" s="24" t="n">
        <x:v>0.9339142091152823</x:v>
      </x:c>
      <x:c r="G10" s="24" t="n">
        <x:v>0.6064636394101885</x:v>
      </x:c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</x:row>
    <x:row r="11">
      <x:c r="A11" s="82" t="str">
        <x:v>1955–1964</x:v>
      </x:c>
      <x:c r="B11" s="82" t="n">
        <x:v>1955</x:v>
      </x:c>
      <x:c r="C11" s="82" t="n">
        <x:v>1964</x:v>
      </x:c>
      <x:c r="D11" s="24" t="n">
        <x:v>0.5241412322816652</x:v>
      </x:c>
      <x:c r="E11" s="24" t="n">
        <x:v>-0.35390946502057524</x:v>
      </x:c>
      <x:c r="F11" s="24" t="n">
        <x:v>1.161316872427984</x:v>
      </x:c>
      <x:c r="G11" s="24" t="n">
        <x:v>0.7499214106081392</x:v>
      </x:c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</x:row>
    <x:row r="12">
      <x:c r="A12" s="82" t="str">
        <x:v>1956–1965</x:v>
      </x:c>
      <x:c r="B12" s="82" t="n">
        <x:v>1956</x:v>
      </x:c>
      <x:c r="C12" s="82" t="n">
        <x:v>1965</x:v>
      </x:c>
      <x:c r="D12" s="24" t="n">
        <x:v>1.1047160102358706</x:v>
      </x:c>
      <x:c r="E12" s="24" t="n">
        <x:v>0.33110814419225726</x:v>
      </x:c>
      <x:c r="F12" s="24" t="n">
        <x:v>1.7004005340453943</x:v>
      </x:c>
      <x:c r="G12" s="24" t="n">
        <x:v>1.4579647863818426</x:v>
      </x:c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</x:row>
    <x:row r="13">
      <x:c r="A13" s="82" t="str">
        <x:v>1957–1966</x:v>
      </x:c>
      <x:c r="B13" s="82" t="n">
        <x:v>1957</x:v>
      </x:c>
      <x:c r="C13" s="82" t="n">
        <x:v>1966</x:v>
      </x:c>
      <x:c r="D13" s="24" t="n">
        <x:v>1.1040465817694372</x:v>
      </x:c>
      <x:c r="E13" s="24" t="n">
        <x:v>0.04477211796246783</x:v>
      </x:c>
      <x:c r="F13" s="24" t="n">
        <x:v>1.5612600536193033</x:v>
      </x:c>
      <x:c r="G13" s="24" t="n">
        <x:v>1.2515415549597848</x:v>
      </x:c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</x:row>
    <x:row r="14">
      <x:c r="A14" s="82" t="str">
        <x:v>1958–1967</x:v>
      </x:c>
      <x:c r="B14" s="82" t="n">
        <x:v>1958</x:v>
      </x:c>
      <x:c r="C14" s="82" t="n">
        <x:v>1967</x:v>
      </x:c>
      <x:c r="D14" s="24" t="n">
        <x:v>0.7522257596067919</x:v>
      </x:c>
      <x:c r="E14" s="24" t="n">
        <x:v>-0.4914209115281491</x:v>
      </x:c>
      <x:c r="F14" s="24" t="n">
        <x:v>1.3400804289544237</x:v>
      </x:c>
      <x:c r="G14" s="24" t="n">
        <x:v>1.0598804736371756</x:v>
      </x:c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</x:row>
    <x:row r="15">
      <x:c r="A15" s="82" t="str">
        <x:v>1959–1968</x:v>
      </x:c>
      <x:c r="B15" s="82" t="n">
        <x:v>1959</x:v>
      </x:c>
      <x:c r="C15" s="82" t="n">
        <x:v>1968</x:v>
      </x:c>
      <x:c r="D15" s="24" t="n">
        <x:v>0.8371451149425285</x:v>
      </x:c>
      <x:c r="E15" s="24" t="n">
        <x:v>-0.21737931034482638</x:v>
      </x:c>
      <x:c r="F15" s="24" t="n">
        <x:v>1.3540689655172415</x:v>
      </x:c>
      <x:c r="G15" s="24" t="n">
        <x:v>1.0638807471264364</x:v>
      </x:c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</x:row>
    <x:row r="16">
      <x:c r="A16" s="82" t="str">
        <x:v>1960–1969</x:v>
      </x:c>
      <x:c r="B16" s="82" t="n">
        <x:v>1960</x:v>
      </x:c>
      <x:c r="C16" s="82" t="n">
        <x:v>1969</x:v>
      </x:c>
      <x:c r="D16" s="24" t="n">
        <x:v>0.34155310677433837</x:v>
      </x:c>
      <x:c r="E16" s="24" t="n">
        <x:v>-0.44952893674293337</x:v>
      </x:c>
      <x:c r="F16" s="24" t="n">
        <x:v>1.162584118438762</x:v>
      </x:c>
      <x:c r="G16" s="24" t="n">
        <x:v>0.5925358905338703</x:v>
      </x:c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</x:row>
    <x:row r="17">
      <x:c r="A17" s="82" t="str">
        <x:v>1961–1970</x:v>
      </x:c>
      <x:c r="B17" s="82" t="n">
        <x:v>1961</x:v>
      </x:c>
      <x:c r="C17" s="82" t="n">
        <x:v>1970</x:v>
      </x:c>
      <x:c r="D17" s="24" t="n">
        <x:v>0.028099865951742603</x:v>
      </x:c>
      <x:c r="E17" s="24" t="n">
        <x:v>-0.9659517426273454</x:v>
      </x:c>
      <x:c r="F17" s="24" t="n">
        <x:v>0.9660857908847186</x:v>
      </x:c>
      <x:c r="G17" s="24" t="n">
        <x:v>0.41463360142984684</x:v>
      </x:c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</x:row>
    <x:row r="18">
      <x:c r="A18" s="82" t="str">
        <x:v>1962–1971</x:v>
      </x:c>
      <x:c r="B18" s="82" t="n">
        <x:v>1962</x:v>
      </x:c>
      <x:c r="C18" s="82" t="n">
        <x:v>1971</x:v>
      </x:c>
      <x:c r="D18" s="24" t="n">
        <x:v>0.11165661304736309</x:v>
      </x:c>
      <x:c r="E18" s="24" t="n">
        <x:v>-0.6643431635388732</x:v>
      </x:c>
      <x:c r="F18" s="24" t="n">
        <x:v>1.1443699731903487</x:v>
      </x:c>
      <x:c r="G18" s="24" t="n">
        <x:v>0.2810880250223397</x:v>
      </x:c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</x:row>
    <x:row r="19">
      <x:c r="A19" s="82" t="str">
        <x:v>1963–1972</x:v>
      </x:c>
      <x:c r="B19" s="82" t="n">
        <x:v>1963</x:v>
      </x:c>
      <x:c r="C19" s="82" t="n">
        <x:v>1972</x:v>
      </x:c>
      <x:c r="D19" s="24" t="n">
        <x:v>0.45868247126436706</x:v>
      </x:c>
      <x:c r="E19" s="24" t="n">
        <x:v>-0.08303448275862035</x:v>
      </x:c>
      <x:c r="F19" s="24" t="n">
        <x:v>1.395586206896552</x:v>
      </x:c>
      <x:c r="G19" s="24" t="n">
        <x:v>0.5696020114942509</x:v>
      </x:c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</x:row>
    <x:row r="20">
      <x:c r="A20" s="82" t="str">
        <x:v>1964–1973</x:v>
      </x:c>
      <x:c r="B20" s="82" t="n">
        <x:v>1964</x:v>
      </x:c>
      <x:c r="C20" s="82" t="n">
        <x:v>1973</x:v>
      </x:c>
      <x:c r="D20" s="24" t="n">
        <x:v>0.21664711796246597</x:v>
      </x:c>
      <x:c r="E20" s="24" t="n">
        <x:v>-0.19919571045576395</x:v>
      </x:c>
      <x:c r="F20" s="24" t="n">
        <x:v>0.9111260053619308</x:v>
      </x:c>
      <x:c r="G20" s="24" t="n">
        <x:v>0.32983411528149936</x:v>
      </x:c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</x:row>
    <x:row r="21">
      <x:c r="A21" s="82" t="str">
        <x:v>1965–1974</x:v>
      </x:c>
      <x:c r="B21" s="82" t="n">
        <x:v>1965</x:v>
      </x:c>
      <x:c r="C21" s="82" t="n">
        <x:v>1974</x:v>
      </x:c>
      <x:c r="D21" s="24" t="n">
        <x:v>0.40694117317182543</x:v>
      </x:c>
      <x:c r="E21" s="24" t="n">
        <x:v>0.32839838492597556</x:v>
      </x:c>
      <x:c r="F21" s="24" t="n">
        <x:v>0.8045760430686411</x:v>
      </x:c>
      <x:c r="G21" s="24" t="n">
        <x:v>0.39516599371915495</x:v>
      </x:c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</x:row>
    <x:row r="22">
      <x:c r="A22" s="82" t="str">
        <x:v>1966–1975</x:v>
      </x:c>
      <x:c r="B22" s="82" t="n">
        <x:v>1966</x:v>
      </x:c>
      <x:c r="C22" s="82" t="n">
        <x:v>1975</x:v>
      </x:c>
      <x:c r="D22" s="24" t="n">
        <x:v>-0.12320710455764122</x:v>
      </x:c>
      <x:c r="E22" s="24" t="n">
        <x:v>-0.044235924932976275</x:v>
      </x:c>
      <x:c r="F22" s="24" t="n">
        <x:v>-0.0002680965147452012</x:v>
      </x:c>
      <x:c r="G22" s="24" t="n">
        <x:v>-0.31391448838248587</x:v>
      </x:c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</x:row>
    <x:row r="23">
      <x:c r="A23" s="82" t="str">
        <x:v>1967–1976</x:v>
      </x:c>
      <x:c r="B23" s="82" t="n">
        <x:v>1967</x:v>
      </x:c>
      <x:c r="C23" s="82" t="n">
        <x:v>1976</x:v>
      </x:c>
      <x:c r="D23" s="24" t="n">
        <x:v>-0.4496613865932055</x:v>
      </x:c>
      <x:c r="E23" s="24" t="n">
        <x:v>-0.10468319559228713</x:v>
      </x:c>
      <x:c r="F23" s="24" t="n">
        <x:v>-0.20550964187327825</x:v>
      </x:c>
      <x:c r="G23" s="24" t="n">
        <x:v>-0.44746183425160835</x:v>
      </x:c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</x:row>
    <x:row r="24">
      <x:c r="A24" s="82" t="str">
        <x:v>1968–1977</x:v>
      </x:c>
      <x:c r="B24" s="82" t="n">
        <x:v>1968</x:v>
      </x:c>
      <x:c r="C24" s="82" t="n">
        <x:v>1977</x:v>
      </x:c>
      <x:c r="D24" s="24" t="n">
        <x:v>-0.366267314566578</x:v>
      </x:c>
      <x:c r="E24" s="24" t="n">
        <x:v>0.5348525469168895</x:v>
      </x:c>
      <x:c r="F24" s="24" t="n">
        <x:v>-0.6182305630026809</x:v>
      </x:c>
      <x:c r="G24" s="24" t="n">
        <x:v>-0.7190334562109042</x:v>
      </x:c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</x:row>
    <x:row r="25">
      <x:c r="A25" s="82" t="str">
        <x:v>1969–1978</x:v>
      </x:c>
      <x:c r="B25" s="82" t="n">
        <x:v>1969</x:v>
      </x:c>
      <x:c r="C25" s="82" t="n">
        <x:v>1978</x:v>
      </x:c>
      <x:c r="D25" s="24" t="n">
        <x:v>-0.493264075067025</x:v>
      </x:c>
      <x:c r="E25" s="24" t="n">
        <x:v>0.16756032171581678</x:v>
      </x:c>
      <x:c r="F25" s="24" t="n">
        <x:v>-0.6222520107238602</x:v>
      </x:c>
      <x:c r="G25" s="24" t="n">
        <x:v>-0.6902689343163557</x:v>
      </x:c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</x:row>
    <x:row r="26">
      <x:c r="A26" s="82" t="str">
        <x:v>1970–1979</x:v>
      </x:c>
      <x:c r="B26" s="82" t="n">
        <x:v>1970</x:v>
      </x:c>
      <x:c r="C26" s="82" t="n">
        <x:v>1979</x:v>
      </x:c>
      <x:c r="D26" s="24" t="n">
        <x:v>-0.3775217828418241</x:v>
      </x:c>
      <x:c r="E26" s="24" t="n">
        <x:v>0.05174262734584383</x:v>
      </x:c>
      <x:c r="F26" s="24" t="n">
        <x:v>-0.7054959785522782</x:v>
      </x:c>
      <x:c r="G26" s="24" t="n">
        <x:v>-0.6047880361930316</x:v>
      </x:c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</x:row>
    <x:row r="27">
      <x:c r="A27" s="82" t="str">
        <x:v>1971–1980</x:v>
      </x:c>
      <x:c r="B27" s="82" t="n">
        <x:v>1971</x:v>
      </x:c>
      <x:c r="C27" s="82" t="n">
        <x:v>1980</x:v>
      </x:c>
      <x:c r="D27" s="24" t="n">
        <x:v>-0.05795844780219842</x:v>
      </x:c>
      <x:c r="E27" s="24" t="n">
        <x:v>0.8739010989010981</x:v>
      </x:c>
      <x:c r="F27" s="24" t="n">
        <x:v>-0.699450549450549</x:v>
      </x:c>
      <x:c r="G27" s="24" t="n">
        <x:v>-0.28753434065934247</x:v>
      </x:c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</x:row>
    <x:row r="28">
      <x:c r="A28" s="82" t="str">
        <x:v>1972–1981</x:v>
      </x:c>
      <x:c r="B28" s="82" t="n">
        <x:v>1972</x:v>
      </x:c>
      <x:c r="C28" s="82" t="n">
        <x:v>1981</x:v>
      </x:c>
      <x:c r="D28" s="24" t="n">
        <x:v>-0.21085753226524317</x:v>
      </x:c>
      <x:c r="E28" s="24" t="n">
        <x:v>0.7511348464619494</x:v>
      </x:c>
      <x:c r="F28" s="24" t="n">
        <x:v>-1.1045393858477968</x:v>
      </x:c>
      <x:c r="G28" s="24" t="n">
        <x:v>-0.3164524922118396</x:v>
      </x:c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</x:row>
    <x:row r="29">
      <x:c r="A29" s="82" t="str">
        <x:v>1973–1982</x:v>
      </x:c>
      <x:c r="B29" s="82" t="n">
        <x:v>1973</x:v>
      </x:c>
      <x:c r="C29" s="82" t="n">
        <x:v>1982</x:v>
      </x:c>
      <x:c r="D29" s="24" t="n">
        <x:v>-0.28534573876279506</x:v>
      </x:c>
      <x:c r="E29" s="24" t="n">
        <x:v>0.36662216288384525</x:v>
      </x:c>
      <x:c r="F29" s="24" t="n">
        <x:v>-1.0471295060080108</x:v>
      </x:c>
      <x:c r="G29" s="24" t="n">
        <x:v>-0.19212004895416282</x:v>
      </x:c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</x:row>
    <x:row r="30">
      <x:c r="A30" s="82" t="str">
        <x:v>1974–1983</x:v>
      </x:c>
      <x:c r="B30" s="82" t="n">
        <x:v>1974</x:v>
      </x:c>
      <x:c r="C30" s="82" t="n">
        <x:v>1983</x:v>
      </x:c>
      <x:c r="D30" s="24" t="n">
        <x:v>-0.6232489946380702</x:v>
      </x:c>
      <x:c r="E30" s="24" t="n">
        <x:v>-0.18498659517426283</x:v>
      </x:c>
      <x:c r="F30" s="24" t="n">
        <x:v>-1.281769436997319</x:v>
      </x:c>
      <x:c r="G30" s="24" t="n">
        <x:v>-0.39789013628239617</x:v>
      </x:c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</x:row>
    <x:row r="31">
      <x:c r="A31" s="82" t="str">
        <x:v>1975–1984</x:v>
      </x:c>
      <x:c r="B31" s="82" t="n">
        <x:v>1975</x:v>
      </x:c>
      <x:c r="C31" s="82" t="n">
        <x:v>1984</x:v>
      </x:c>
      <x:c r="D31" s="24" t="n">
        <x:v>-0.6596722107910387</x:v>
      </x:c>
      <x:c r="E31" s="24" t="n">
        <x:v>-0.08834019204389577</x:v>
      </x:c>
      <x:c r="F31" s="24" t="n">
        <x:v>-1.495610425240055</x:v>
      </x:c>
      <x:c r="G31" s="24" t="n">
        <x:v>-0.3791752400548706</x:v>
      </x:c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</x:row>
    <x:row r="32">
      <x:c r="A32" s="82" t="str">
        <x:v>1976–1985</x:v>
      </x:c>
      <x:c r="B32" s="82" t="n">
        <x:v>1976</x:v>
      </x:c>
      <x:c r="C32" s="82" t="n">
        <x:v>1985</x:v>
      </x:c>
      <x:c r="D32" s="24" t="n">
        <x:v>-0.7460288203753359</x:v>
      </x:c>
      <x:c r="E32" s="24" t="n">
        <x:v>-0.4697050938337802</x:v>
      </x:c>
      <x:c r="F32" s="24" t="n">
        <x:v>-1.4253351206434317</x:v>
      </x:c>
      <x:c r="G32" s="24" t="n">
        <x:v>-0.506444090705988</x:v>
      </x:c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</x:row>
    <x:row r="33">
      <x:c r="A33" s="82" t="str">
        <x:v>1977–1986</x:v>
      </x:c>
      <x:c r="B33" s="82" t="n">
        <x:v>1977</x:v>
      </x:c>
      <x:c r="C33" s="82" t="n">
        <x:v>1986</x:v>
      </x:c>
      <x:c r="D33" s="24" t="n">
        <x:v>-0.800310135736538</x:v>
      </x:c>
      <x:c r="E33" s="24" t="n">
        <x:v>-0.7415220293724967</x:v>
      </x:c>
      <x:c r="F33" s="24" t="n">
        <x:v>-1.1846461949265685</x:v>
      </x:c>
      <x:c r="G33" s="24" t="n">
        <x:v>-0.6311776813529153</x:v>
      </x:c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</x:row>
    <x:row r="34">
      <x:c r="A34" s="82" t="str">
        <x:v>1978–1987</x:v>
      </x:c>
      <x:c r="B34" s="82" t="n">
        <x:v>1978</x:v>
      </x:c>
      <x:c r="C34" s="82" t="n">
        <x:v>1987</x:v>
      </x:c>
      <x:c r="D34" s="24" t="n">
        <x:v>-0.6646359707446808</x:v>
      </x:c>
      <x:c r="E34" s="24" t="n">
        <x:v>-0.7978723404255318</x:v>
      </x:c>
      <x:c r="F34" s="24" t="n">
        <x:v>-0.6281914893617024</x:v>
      </x:c>
      <x:c r="G34" s="24" t="n">
        <x:v>-0.43663009751773085</x:v>
      </x:c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</x:row>
    <x:row r="35">
      <x:c r="A35" s="82" t="str">
        <x:v>1979–1988</x:v>
      </x:c>
      <x:c r="B35" s="82" t="n">
        <x:v>1979</x:v>
      </x:c>
      <x:c r="C35" s="82" t="n">
        <x:v>1988</x:v>
      </x:c>
      <x:c r="D35" s="24" t="n">
        <x:v>-0.48560450819672096</x:v>
      </x:c>
      <x:c r="E35" s="24" t="n">
        <x:v>-0.2076502732240432</x:v>
      </x:c>
      <x:c r="F35" s="24" t="n">
        <x:v>-0.43224043715846994</x:v>
      </x:c>
      <x:c r="G35" s="24" t="n">
        <x:v>-0.25753073770491763</x:v>
      </x:c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</x:row>
    <x:row r="36">
      <x:c r="A36" s="82" t="str">
        <x:v>1980–1989</x:v>
      </x:c>
      <x:c r="B36" s="82" t="n">
        <x:v>1980</x:v>
      </x:c>
      <x:c r="C36" s="82" t="n">
        <x:v>1989</x:v>
      </x:c>
      <x:c r="D36" s="24" t="n">
        <x:v>0.0052639630618610865</x:v>
      </x:c>
      <x:c r="E36" s="24" t="n">
        <x:v>0.5706275033377844</x:v>
      </x:c>
      <x:c r="F36" s="24" t="n">
        <x:v>-0.18731642189586148</x:v>
      </x:c>
      <x:c r="G36" s="24" t="n">
        <x:v>0.25514157765910156</x:v>
      </x:c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</x:row>
    <x:row r="37">
      <x:c r="A37" s="82" t="str">
        <x:v>1981–1990</x:v>
      </x:c>
      <x:c r="B37" s="82" t="n">
        <x:v>1981</x:v>
      </x:c>
      <x:c r="C37" s="82" t="n">
        <x:v>1990</x:v>
      </x:c>
      <x:c r="D37" s="24" t="n">
        <x:v>-0.3182924454828654</x:v>
      </x:c>
      <x:c r="E37" s="24" t="n">
        <x:v>-0.09746328437917193</x:v>
      </x:c>
      <x:c r="F37" s="24" t="n">
        <x:v>-0.2582109479305741</x:v>
      </x:c>
      <x:c r="G37" s="24" t="n">
        <x:v>-0.13272557854917602</x:v>
      </x:c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</x:row>
    <x:row r="38">
      <x:c r="A38" s="82" t="str">
        <x:v>1982–1991</x:v>
      </x:c>
      <x:c r="B38" s="82" t="n">
        <x:v>1982</x:v>
      </x:c>
      <x:c r="C38" s="82" t="n">
        <x:v>1991</x:v>
      </x:c>
      <x:c r="D38" s="24" t="n">
        <x:v>-0.0365365281501328</x:v>
      </x:c>
      <x:c r="E38" s="24" t="n">
        <x:v>0.2595174262734587</x:v>
      </x:c>
      <x:c r="F38" s="24" t="n">
        <x:v>0.07734584450402146</x:v>
      </x:c>
      <x:c r="G38" s="24" t="n">
        <x:v>0.24377932305630126</x:v>
      </x:c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</x:row>
    <x:row r="39">
      <x:c r="A39" s="82" t="str">
        <x:v>1983–1992</x:v>
      </x:c>
      <x:c r="B39" s="82" t="n">
        <x:v>1983</x:v>
      </x:c>
      <x:c r="C39" s="82" t="n">
        <x:v>1992</x:v>
      </x:c>
      <x:c r="D39" s="24" t="n">
        <x:v>-0.13416638088705926</x:v>
      </x:c>
      <x:c r="E39" s="24" t="n">
        <x:v>0.5226337448559669</x:v>
      </x:c>
      <x:c r="F39" s="24" t="n">
        <x:v>-0.3572016460905348</x:v>
      </x:c>
      <x:c r="G39" s="24" t="n">
        <x:v>-0.23670410379515208</x:v>
      </x:c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</x:row>
    <x:row r="40">
      <x:c r="A40" s="82" t="str">
        <x:v>1984–1993</x:v>
      </x:c>
      <x:c r="B40" s="82" t="n">
        <x:v>1984</x:v>
      </x:c>
      <x:c r="C40" s="82" t="n">
        <x:v>1993</x:v>
      </x:c>
      <x:c r="D40" s="24" t="n">
        <x:v>-0.3883998108589225</x:v>
      </x:c>
      <x:c r="E40" s="24" t="n">
        <x:v>0.16288384512683557</x:v>
      </x:c>
      <x:c r="F40" s="24" t="n">
        <x:v>-0.45046728971962635</x:v>
      </x:c>
      <x:c r="G40" s="24" t="n">
        <x:v>-0.8195719292389846</x:v>
      </x:c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</x:row>
    <x:row r="41">
      <x:c r="A41" s="82" t="str">
        <x:v>1985–1994</x:v>
      </x:c>
      <x:c r="B41" s="82" t="n">
        <x:v>1985</x:v>
      </x:c>
      <x:c r="C41" s="82" t="n">
        <x:v>1994</x:v>
      </x:c>
      <x:c r="D41" s="24" t="n">
        <x:v>-0.06129356568364496</x:v>
      </x:c>
      <x:c r="E41" s="24" t="n">
        <x:v>0.5273458445040212</x:v>
      </x:c>
      <x:c r="F41" s="24" t="n">
        <x:v>-0.10361930294906176</x:v>
      </x:c>
      <x:c r="G41" s="24" t="n">
        <x:v>-0.5323475201072378</x:v>
      </x:c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</x:row>
    <x:row r="42">
      <x:c r="A42" s="82" t="str">
        <x:v>1986–1995</x:v>
      </x:c>
      <x:c r="B42" s="82" t="n">
        <x:v>1986</x:v>
      </x:c>
      <x:c r="C42" s="82" t="n">
        <x:v>1995</x:v>
      </x:c>
      <x:c r="D42" s="24" t="n">
        <x:v>-0.2702273235031268</x:v>
      </x:c>
      <x:c r="E42" s="24" t="n">
        <x:v>0.69088471849866</x:v>
      </x:c>
      <x:c r="F42" s="24" t="n">
        <x:v>-0.31273458445040203</x:v>
      </x:c>
      <x:c r="G42" s="24" t="n">
        <x:v>-0.6423229445933862</x:v>
      </x:c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</x:row>
    <x:row r="43">
      <x:c r="A43" s="82" t="str">
        <x:v>1987–1996</x:v>
      </x:c>
      <x:c r="B43" s="82" t="n">
        <x:v>1987</x:v>
      </x:c>
      <x:c r="C43" s="82" t="n">
        <x:v>1996</x:v>
      </x:c>
      <x:c r="D43" s="24" t="n">
        <x:v>0.02080890804597775</x:v>
      </x:c>
      <x:c r="E43" s="24" t="n">
        <x:v>1.2474482758620695</x:v>
      </x:c>
      <x:c r="F43" s="24" t="n">
        <x:v>-0.45834482758620704</x:v>
      </x:c>
      <x:c r="G43" s="24" t="n">
        <x:v>-0.37870545977011405</x:v>
      </x:c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</x:row>
    <x:row r="44">
      <x:c r="A44" s="82" t="str">
        <x:v>1988–1997</x:v>
      </x:c>
      <x:c r="B44" s="82" t="n">
        <x:v>1988</x:v>
      </x:c>
      <x:c r="C44" s="82" t="n">
        <x:v>1997</x:v>
      </x:c>
      <x:c r="D44" s="24" t="n">
        <x:v>0.20717390085240087</x:v>
      </x:c>
      <x:c r="E44" s="24" t="n">
        <x:v>1.4401076716016146</x:v>
      </x:c>
      <x:c r="F44" s="24" t="n">
        <x:v>-0.5211305518169582</x:v>
      </x:c>
      <x:c r="G44" s="24" t="n">
        <x:v>-0.2123513907581867</x:v>
      </x:c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</x:row>
    <x:row r="45">
      <x:c r="A45" s="82" t="str">
        <x:v>1989–1998</x:v>
      </x:c>
      <x:c r="B45" s="82" t="n">
        <x:v>1989</x:v>
      </x:c>
      <x:c r="C45" s="82" t="n">
        <x:v>1998</x:v>
      </x:c>
      <x:c r="D45" s="24" t="n">
        <x:v>-0.15688672922251948</x:v>
      </x:c>
      <x:c r="E45" s="24" t="n">
        <x:v>0.7713136729222523</x:v>
      </x:c>
      <x:c r="F45" s="24" t="n">
        <x:v>-0.7953083109919574</x:v>
      </x:c>
      <x:c r="G45" s="24" t="n">
        <x:v>-0.6908875111706871</x:v>
      </x:c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</x:row>
    <x:row r="46">
      <x:c r="A46" s="82" t="str">
        <x:v>1990–1999</x:v>
      </x:c>
      <x:c r="B46" s="82" t="n">
        <x:v>1990</x:v>
      </x:c>
      <x:c r="C46" s="82" t="n">
        <x:v>1999</x:v>
      </x:c>
      <x:c r="D46" s="24" t="n">
        <x:v>-0.6740337354781052</x:v>
      </x:c>
      <x:c r="E46" s="24" t="n">
        <x:v>-0.13351206434316382</x:v>
      </x:c>
      <x:c r="F46" s="24" t="n">
        <x:v>-1.3288203753351209</x:v>
      </x:c>
      <x:c r="G46" s="24" t="n">
        <x:v>-1.1841013181411963</x:v>
      </x:c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</x:row>
    <x:row r="47">
      <x:c r="A47" s="82" t="str">
        <x:v>1991–2000</x:v>
      </x:c>
      <x:c r="B47" s="82" t="n">
        <x:v>1991</x:v>
      </x:c>
      <x:c r="C47" s="82" t="n">
        <x:v>2000</x:v>
      </x:c>
      <x:c r="D47" s="24" t="n">
        <x:v>-0.5721795977011491</x:v>
      </x:c>
      <x:c r="E47" s="24" t="n">
        <x:v>0.016275862068965002</x:v>
      </x:c>
      <x:c r="F47" s="24" t="n">
        <x:v>-1.0995862068965516</x:v>
      </x:c>
      <x:c r="G47" s="24" t="n">
        <x:v>-1.3233721264367804</x:v>
      </x:c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</x:row>
    <x:row r="48">
      <x:c r="A48" s="82" t="str">
        <x:v>1992–2001</x:v>
      </x:c>
      <x:c r="B48" s="82" t="n">
        <x:v>1992</x:v>
      </x:c>
      <x:c r="C48" s="82" t="n">
        <x:v>2001</x:v>
      </x:c>
      <x:c r="D48" s="24" t="n">
        <x:v>-0.782933981233244</x:v>
      </x:c>
      <x:c r="E48" s="24" t="n">
        <x:v>-0.7179624664879363</x:v>
      </x:c>
      <x:c r="F48" s="24" t="n">
        <x:v>-1.0432975871313677</x:v>
      </x:c>
      <x:c r="G48" s="24" t="n">
        <x:v>-1.5109835790884705</x:v>
      </x:c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</x:row>
    <x:row r="49">
      <x:c r="A49" s="82" t="str">
        <x:v>1993–2002</x:v>
      </x:c>
      <x:c r="B49" s="82" t="n">
        <x:v>1993</x:v>
      </x:c>
      <x:c r="C49" s="82" t="n">
        <x:v>2002</x:v>
      </x:c>
      <x:c r="D49" s="24" t="n">
        <x:v>-1.0606311686855086</x:v>
      </x:c>
      <x:c r="E49" s="24" t="n">
        <x:v>-1.1615074024226115</x:v>
      </x:c>
      <x:c r="F49" s="24" t="n">
        <x:v>-0.9397039030955587</x:v>
      </x:c>
      <x:c r="G49" s="24" t="n">
        <x:v>-1.5010318528488098</x:v>
      </x:c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</x:row>
    <x:row r="50">
      <x:c r="A50" s="82" t="str">
        <x:v>1994–2003</x:v>
      </x:c>
      <x:c r="B50" s="82" t="n">
        <x:v>1994</x:v>
      </x:c>
      <x:c r="C50" s="82" t="n">
        <x:v>2003</x:v>
      </x:c>
      <x:c r="D50" s="24" t="n">
        <x:v>-0.1455764075067016</x:v>
      </x:c>
      <x:c r="E50" s="24" t="n">
        <x:v>-0.18900804289544273</x:v>
      </x:c>
      <x:c r="F50" s="24" t="n">
        <x:v>-0.5069705093833783</x:v>
      </x:c>
      <x:c r="G50" s="24" t="n">
        <x:v>-0.5222757484361027</x:v>
      </x:c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</x:row>
    <x:row r="51">
      <x:c r="A51" s="82" t="str">
        <x:v>1995–2004</x:v>
      </x:c>
      <x:c r="B51" s="82" t="n">
        <x:v>1995</x:v>
      </x:c>
      <x:c r="C51" s="82" t="n">
        <x:v>2004</x:v>
      </x:c>
      <x:c r="D51" s="24" t="n">
        <x:v>-0.5129361799816341</x:v>
      </x:c>
      <x:c r="E51" s="24" t="n">
        <x:v>-0.798898071625345</x:v>
      </x:c>
      <x:c r="F51" s="24" t="n">
        <x:v>-0.7633608815426997</x:v>
      </x:c>
      <x:c r="G51" s="24" t="n">
        <x:v>-0.8278853879706141</x:v>
      </x:c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</x:row>
    <x:row r="52">
      <x:c r="A52" s="82" t="str">
        <x:v>1996–2005</x:v>
      </x:c>
      <x:c r="B52" s="82" t="n">
        <x:v>1996</x:v>
      </x:c>
      <x:c r="C52" s="82" t="n">
        <x:v>2005</x:v>
      </x:c>
      <x:c r="D52" s="24" t="n">
        <x:v>-0.29300156389633586</x:v>
      </x:c>
      <x:c r="E52" s="24" t="n">
        <x:v>-0.8766756032171586</x:v>
      </x:c>
      <x:c r="F52" s="24" t="n">
        <x:v>-0.4010723860589814</x:v>
      </x:c>
      <x:c r="G52" s="24" t="n">
        <x:v>-0.5815502122430729</x:v>
      </x:c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</x:row>
    <x:row r="53">
      <x:c r="A53" s="82" t="str">
        <x:v>1997–2006</x:v>
      </x:c>
      <x:c r="B53" s="82" t="n">
        <x:v>1997</x:v>
      </x:c>
      <x:c r="C53" s="82" t="n">
        <x:v>2006</x:v>
      </x:c>
      <x:c r="D53" s="24" t="n">
        <x:v>-0.5746983914209111</x:v>
      </x:c>
      <x:c r="E53" s="24" t="n">
        <x:v>-1.0750670241286864</x:v>
      </x:c>
      <x:c r="F53" s="24" t="n">
        <x:v>-0.4412868632707778</x:v>
      </x:c>
      <x:c r="G53" s="24" t="n">
        <x:v>-0.905542057640749</x:v>
      </x:c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</x:row>
    <x:row r="54">
      <x:c r="A54" s="82" t="str">
        <x:v>1998–2007</x:v>
      </x:c>
      <x:c r="B54" s="82" t="n">
        <x:v>1998</x:v>
      </x:c>
      <x:c r="C54" s="82" t="n">
        <x:v>2007</x:v>
      </x:c>
      <x:c r="D54" s="24" t="n">
        <x:v>-0.5797252010723861</x:v>
      </x:c>
      <x:c r="E54" s="24" t="n">
        <x:v>-1.2994638069705098</x:v>
      </x:c>
      <x:c r="F54" s="24" t="n">
        <x:v>-0.24705093833780178</x:v>
      </x:c>
      <x:c r="G54" s="24" t="n">
        <x:v>-0.7210330093833768</x:v>
      </x:c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</x:row>
    <x:row r="55">
      <x:c r="A55" s="82" t="str">
        <x:v>1999–2008</x:v>
      </x:c>
      <x:c r="B55" s="82" t="n">
        <x:v>1999</x:v>
      </x:c>
      <x:c r="C55" s="82" t="n">
        <x:v>2008</x:v>
      </x:c>
      <x:c r="D55" s="24" t="n">
        <x:v>-0.33624656593406604</x:v>
      </x:c>
      <x:c r="E55" s="24" t="n">
        <x:v>-1.0052197802197804</x:v>
      </x:c>
      <x:c r="F55" s="24" t="n">
        <x:v>-0.019505494505494603</x:v>
      </x:c>
      <x:c r="G55" s="24" t="n">
        <x:v>-0.4338255494505483</x:v>
      </x:c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</x:row>
    <x:row r="56">
      <x:c r="A56" s="82" t="str">
        <x:v>2000–2009</x:v>
      </x:c>
      <x:c r="B56" s="82" t="n">
        <x:v>2000</x:v>
      </x:c>
      <x:c r="C56" s="82" t="n">
        <x:v>2009</x:v>
      </x:c>
      <x:c r="D56" s="24" t="n">
        <x:v>-0.47045366043613723</x:v>
      </x:c>
      <x:c r="E56" s="24" t="n">
        <x:v>-1.2675567423230982</x:v>
      </x:c>
      <x:c r="F56" s="24" t="n">
        <x:v>0.15714285714285728</x:v>
      </x:c>
      <x:c r="G56" s="24" t="n">
        <x:v>-0.40807465509568197</x:v>
      </x:c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</x:row>
    <x:row r="57">
      <x:c r="A57" s="82" t="str">
        <x:v>2001–2010</x:v>
      </x:c>
      <x:c r="B57" s="82" t="n">
        <x:v>2001</x:v>
      </x:c>
      <x:c r="C57" s="82" t="n">
        <x:v>2010</x:v>
      </x:c>
      <x:c r="D57" s="24" t="n">
        <x:v>-0.21037077214063235</x:v>
      </x:c>
      <x:c r="E57" s="24" t="n">
        <x:v>-0.42643524699599467</x:v>
      </x:c>
      <x:c r="F57" s="24" t="n">
        <x:v>-0.07383177570093498</x:v>
      </x:c>
      <x:c r="G57" s="24" t="n">
        <x:v>0.09351079216733532</x:v>
      </x:c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</x:row>
    <x:row r="58">
      <x:c r="A58" s="82" t="str">
        <x:v>2002–2011</x:v>
      </x:c>
      <x:c r="B58" s="82" t="n">
        <x:v>2002</x:v>
      </x:c>
      <x:c r="C58" s="82" t="n">
        <x:v>2011</x:v>
      </x:c>
      <x:c r="D58" s="24" t="n">
        <x:v>0.0015834450402140879</x:v>
      </x:c>
      <x:c r="E58" s="24" t="n">
        <x:v>0.09249329758713135</x:v>
      </x:c>
      <x:c r="F58" s="24" t="n">
        <x:v>0.14182305630026756</x:v>
      </x:c>
      <x:c r="G58" s="24" t="n">
        <x:v>0.30322413985701596</x:v>
      </x:c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</x:row>
    <x:row r="59">
      <x:c r="A59" s="82" t="str">
        <x:v>2003–2012</x:v>
      </x:c>
      <x:c r="B59" s="82" t="n">
        <x:v>2003</x:v>
      </x:c>
      <x:c r="C59" s="82" t="n">
        <x:v>2012</x:v>
      </x:c>
      <x:c r="D59" s="24" t="n">
        <x:v>0.1376528920896196</x:v>
      </x:c>
      <x:c r="E59" s="24" t="n">
        <x:v>0.2203017832647459</x:v>
      </x:c>
      <x:c r="F59" s="24" t="n">
        <x:v>0.19574759945130285</x:v>
      </x:c>
      <x:c r="G59" s="24" t="n">
        <x:v>0.41223422496570683</x:v>
      </x:c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</x:row>
    <x:row r="60">
      <x:c r="A60" s="82" t="str">
        <x:v>2004–2013</x:v>
      </x:c>
      <x:c r="B60" s="82" t="n">
        <x:v>2004</x:v>
      </x:c>
      <x:c r="C60" s="82" t="n">
        <x:v>2013</x:v>
      </x:c>
      <x:c r="D60" s="24" t="n">
        <x:v>-0.3173676273458456</x:v>
      </x:c>
      <x:c r="E60" s="24" t="n">
        <x:v>0.04906166219839108</x:v>
      </x:c>
      <x:c r="F60" s="24" t="n">
        <x:v>0.034450402144771776</x:v>
      </x:c>
      <x:c r="G60" s="24" t="n">
        <x:v>0.1221584562109029</x:v>
      </x:c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</x:row>
    <x:row r="61">
      <x:c r="A61" s="82" t="str">
        <x:v>2005–2014</x:v>
      </x:c>
      <x:c r="B61" s="82" t="n">
        <x:v>2005</x:v>
      </x:c>
      <x:c r="C61" s="82" t="n">
        <x:v>2014</x:v>
      </x:c>
      <x:c r="D61" s="24" t="n">
        <x:v>-0.36510486203827497</x:v>
      </x:c>
      <x:c r="E61" s="24" t="n">
        <x:v>-0.17676902536715625</x:v>
      </x:c>
      <x:c r="F61" s="24" t="n">
        <x:v>0.06502002670226918</x:v>
      </x:c>
      <x:c r="G61" s="24" t="n">
        <x:v>0.09166110369381406</x:v>
      </x:c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</x:row>
    <x:row r="62">
      <x:c r="A62" s="82" t="str">
        <x:v>2006–2015</x:v>
      </x:c>
      <x:c r="B62" s="82" t="n">
        <x:v>2006</x:v>
      </x:c>
      <x:c r="C62" s="82" t="n">
        <x:v>2015</x:v>
      </x:c>
      <x:c r="D62" s="24" t="n">
        <x:v>0.13385970744680728</x:v>
      </x:c>
      <x:c r="E62" s="24" t="n">
        <x:v>0.5904255319148936</x:v>
      </x:c>
      <x:c r="F62" s="24" t="n">
        <x:v>0.3053191489361695</x:v>
      </x:c>
      <x:c r="G62" s="24" t="n">
        <x:v>0.49712987588652485</x:v>
      </x:c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</x:row>
    <x:row r="63">
      <x:c r="A63" s="186" t="str">
        <x:v>2016–2025</x:v>
      </x:c>
      <x:c r="B63" s="187" t="n">
        <x:v>2016</x:v>
      </x:c>
      <x:c r="C63" s="187" t="n">
        <x:v>2025</x:v>
      </x:c>
      <x:c r="D63" s="188" t="n">
        <x:v>0.8487741835285755</x:v>
      </x:c>
      <x:c r="E63" s="188" t="n">
        <x:v>1.7157614483493075</x:v>
      </x:c>
      <x:c r="F63" s="188" t="n">
        <x:v>0.04451544195953112</x:v>
      </x:c>
      <x:c r="G63" s="189" t="n">
        <x:v>0.6621161696840616</x:v>
      </x:c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</x:row>
  </x:sheetData>
  <x:pageMargins left="0.7" right="0.7" top="0.75" bottom="0.75" header="0.3" footer="0.3"/>
  <x:drawing xmlns:r="http://schemas.openxmlformats.org/officeDocument/2006/relationships" r:id="Ra3ce419afa22432b"/>
</x:worksheet>
</file>

<file path=xl/worksheets/sheet5.xml><?xml version="1.0" encoding="utf-8"?>
<x:worksheet xmlns:x="http://schemas.openxmlformats.org/spreadsheetml/2006/main">
  <x:sheetPr>
    <x:tabColor rgb="FF9EADBA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2">
      <x:c r="A2" s="196" t="str">
        <x:v>Datos anuales utilizados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3">
      <x:c r="A3" s="14" t="str">
        <x:v>Fuente: Comparacion_climatologica_Castalla_A_vs_B.xlsx. A: 1–4 de septiembre. B: último viernes de agosto y los tres días siguientes. Castalla, 1950–2025.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</x:row>
    <x:row r="5">
      <x:c r="A5" s="8" t="str">
        <x:v>Año</x:v>
      </x:c>
      <x:c r="B5" s="8" t="str">
        <x:v>Inicio A</x:v>
      </x:c>
      <x:c r="C5" s="8" t="str">
        <x:v>Inicio B</x:v>
      </x:c>
      <x:c r="D5" s="8" t="str">
        <x:v>Días solapados</x:v>
      </x:c>
      <x:c r="E5" s="8" t="str">
        <x:v>Separación (días)</x:v>
      </x:c>
      <x:c r="F5" s="8" t="str">
        <x:v>T media A (°C)</x:v>
      </x:c>
      <x:c r="G5" s="8" t="str">
        <x:v>T media B (°C)</x:v>
      </x:c>
      <x:c r="H5" s="8" t="str">
        <x:v>B−A T media (°C)</x:v>
      </x:c>
      <x:c r="I5" s="8" t="str">
        <x:v>Tmax A (°C)</x:v>
      </x:c>
      <x:c r="J5" s="8" t="str">
        <x:v>Tmax B (°C)</x:v>
      </x:c>
      <x:c r="K5" s="8" t="str">
        <x:v>B−A Tmax (°C)</x:v>
      </x:c>
      <x:c r="L5" s="8" t="str">
        <x:v>Tmin A (°C)</x:v>
      </x:c>
      <x:c r="M5" s="8" t="str">
        <x:v>Tmin B (°C)</x:v>
      </x:c>
      <x:c r="N5" s="8" t="str">
        <x:v>B−A Tmin (°C)</x:v>
      </x:c>
      <x:c r="O5" s="8" t="str">
        <x:v>T aparente A (°C)</x:v>
      </x:c>
      <x:c r="P5" s="8" t="str">
        <x:v>T aparente B (°C)</x:v>
      </x:c>
      <x:c r="Q5" s="8" t="str">
        <x:v>B−A T aparente (°C)</x:v>
      </x:c>
    </x:row>
    <x:row r="6">
      <x:c r="A6" s="19" t="n">
        <x:v>1950</x:v>
      </x:c>
      <x:c r="B6" s="20" t="n">
        <x:v>18507</x:v>
      </x:c>
      <x:c r="C6" s="20" t="n">
        <x:v>18500</x:v>
      </x:c>
      <x:c r="D6" s="19" t="n">
        <x:v>0</x:v>
      </x:c>
      <x:c r="E6" s="19" t="n">
        <x:v>7</x:v>
      </x:c>
      <x:c r="F6" s="21" t="n">
        <x:v>20.989583333333336</x:v>
      </x:c>
      <x:c r="G6" s="21" t="n">
        <x:v>24.667708333333334</x:v>
      </x:c>
      <x:c r="H6" s="28" t="n">
        <x:f>G6-F6</x:f>
        <x:v>3.678124999999998</x:v>
      </x:c>
      <x:c r="I6" s="21" t="n">
        <x:v>30</x:v>
      </x:c>
      <x:c r="J6" s="21" t="n">
        <x:v>32.2</x:v>
      </x:c>
      <x:c r="K6" s="28" t="n">
        <x:f>J6-I6</x:f>
        <x:v>2.200000000000003</x:v>
      </x:c>
      <x:c r="L6" s="21" t="n">
        <x:v>13.9</x:v>
      </x:c>
      <x:c r="M6" s="21" t="n">
        <x:v>16.3</x:v>
      </x:c>
      <x:c r="N6" s="28" t="n">
        <x:f>M6-L6</x:f>
        <x:v>2.4000000000000004</x:v>
      </x:c>
      <x:c r="O6" s="21" t="n">
        <x:v>20.46666666666667</x:v>
      </x:c>
      <x:c r="P6" s="21" t="n">
        <x:v>23.79375</x:v>
      </x:c>
      <x:c r="Q6" s="28" t="n">
        <x:f>P6-O6</x:f>
        <x:v>3.3270833333333307</x:v>
      </x:c>
    </x:row>
    <x:row r="7">
      <x:c r="A7" s="22" t="n">
        <x:v>1951</x:v>
      </x:c>
      <x:c r="B7" s="23" t="n">
        <x:v>18872</x:v>
      </x:c>
      <x:c r="C7" s="23" t="n">
        <x:v>18871</x:v>
      </x:c>
      <x:c r="D7" s="22" t="n">
        <x:v>3</x:v>
      </x:c>
      <x:c r="E7" s="22" t="n">
        <x:v>1</x:v>
      </x:c>
      <x:c r="F7" s="24" t="n">
        <x:v>23.221874999999997</x:v>
      </x:c>
      <x:c r="G7" s="24" t="n">
        <x:v>23.365625</x:v>
      </x:c>
      <x:c r="H7" s="29" t="n">
        <x:f>G7-F7</x:f>
        <x:v>0.14375000000000426</x:v>
      </x:c>
      <x:c r="I7" s="24" t="n">
        <x:v>31.3</x:v>
      </x:c>
      <x:c r="J7" s="24" t="n">
        <x:v>31.3</x:v>
      </x:c>
      <x:c r="K7" s="29" t="n">
        <x:f>J7-I7</x:f>
        <x:v>0</x:v>
      </x:c>
      <x:c r="L7" s="24" t="n">
        <x:v>15.9</x:v>
      </x:c>
      <x:c r="M7" s="24" t="n">
        <x:v>15.9</x:v>
      </x:c>
      <x:c r="N7" s="29" t="n">
        <x:f>M7-L7</x:f>
        <x:v>0</x:v>
      </x:c>
      <x:c r="O7" s="24" t="n">
        <x:v>23.280208333333334</x:v>
      </x:c>
      <x:c r="P7" s="24" t="n">
        <x:v>22.702083333333334</x:v>
      </x:c>
      <x:c r="Q7" s="29" t="n">
        <x:f>P7-O7</x:f>
        <x:v>-0.578125</x:v>
      </x:c>
    </x:row>
    <x:row r="8">
      <x:c r="A8" s="22" t="n">
        <x:v>1952</x:v>
      </x:c>
      <x:c r="B8" s="23" t="n">
        <x:v>19238</x:v>
      </x:c>
      <x:c r="C8" s="23" t="n">
        <x:v>19235</x:v>
      </x:c>
      <x:c r="D8" s="22" t="n">
        <x:v>1</x:v>
      </x:c>
      <x:c r="E8" s="22" t="n">
        <x:v>3</x:v>
      </x:c>
      <x:c r="F8" s="24" t="n">
        <x:v>20.983333333333334</x:v>
      </x:c>
      <x:c r="G8" s="24" t="n">
        <x:v>21.685416666666665</x:v>
      </x:c>
      <x:c r="H8" s="29" t="n">
        <x:f>G8-F8</x:f>
        <x:v>0.7020833333333307</x:v>
      </x:c>
      <x:c r="I8" s="24" t="n">
        <x:v>27.1</x:v>
      </x:c>
      <x:c r="J8" s="24" t="n">
        <x:v>28.6</x:v>
      </x:c>
      <x:c r="K8" s="29" t="n">
        <x:f>J8-I8</x:f>
        <x:v>1.5</x:v>
      </x:c>
      <x:c r="L8" s="24" t="n">
        <x:v>15.7</x:v>
      </x:c>
      <x:c r="M8" s="24" t="n">
        <x:v>15.1</x:v>
      </x:c>
      <x:c r="N8" s="29" t="n">
        <x:f>M8-L8</x:f>
        <x:v>-0.5999999999999996</x:v>
      </x:c>
      <x:c r="O8" s="24" t="n">
        <x:v>21.805208333333333</x:v>
      </x:c>
      <x:c r="P8" s="24" t="n">
        <x:v>21.709375</x:v>
      </x:c>
      <x:c r="Q8" s="29" t="n">
        <x:f>P8-O8</x:f>
        <x:v>-0.09583333333333144</x:v>
      </x:c>
    </x:row>
    <x:row r="9">
      <x:c r="A9" s="22" t="n">
        <x:v>1953</x:v>
      </x:c>
      <x:c r="B9" s="23" t="n">
        <x:v>19603</x:v>
      </x:c>
      <x:c r="C9" s="23" t="n">
        <x:v>19599</x:v>
      </x:c>
      <x:c r="D9" s="22" t="n">
        <x:v>0</x:v>
      </x:c>
      <x:c r="E9" s="22" t="n">
        <x:v>4</x:v>
      </x:c>
      <x:c r="F9" s="24" t="n">
        <x:v>21.957291666666666</x:v>
      </x:c>
      <x:c r="G9" s="24" t="n">
        <x:v>22.972916666666666</x:v>
      </x:c>
      <x:c r="H9" s="29" t="n">
        <x:f>G9-F9</x:f>
        <x:v>1.015625</x:v>
      </x:c>
      <x:c r="I9" s="24" t="n">
        <x:v>29.1</x:v>
      </x:c>
      <x:c r="J9" s="24" t="n">
        <x:v>29.9</x:v>
      </x:c>
      <x:c r="K9" s="29" t="n">
        <x:f>J9-I9</x:f>
        <x:v>0.7999999999999972</x:v>
      </x:c>
      <x:c r="L9" s="24" t="n">
        <x:v>15.2</x:v>
      </x:c>
      <x:c r="M9" s="24" t="n">
        <x:v>15.5</x:v>
      </x:c>
      <x:c r="N9" s="29" t="n">
        <x:f>M9-L9</x:f>
        <x:v>0.3000000000000007</x:v>
      </x:c>
      <x:c r="O9" s="24" t="n">
        <x:v>22.427083333333336</x:v>
      </x:c>
      <x:c r="P9" s="24" t="n">
        <x:v>23.627083333333335</x:v>
      </x:c>
      <x:c r="Q9" s="29" t="n">
        <x:f>P9-O9</x:f>
        <x:v>1.1999999999999993</x:v>
      </x:c>
    </x:row>
    <x:row r="10">
      <x:c r="A10" s="22" t="n">
        <x:v>1954</x:v>
      </x:c>
      <x:c r="B10" s="23" t="n">
        <x:v>19968</x:v>
      </x:c>
      <x:c r="C10" s="23" t="n">
        <x:v>19963</x:v>
      </x:c>
      <x:c r="D10" s="22" t="n">
        <x:v>0</x:v>
      </x:c>
      <x:c r="E10" s="22" t="n">
        <x:v>5</x:v>
      </x:c>
      <x:c r="F10" s="24" t="n">
        <x:v>21.690624999999997</x:v>
      </x:c>
      <x:c r="G10" s="24" t="n">
        <x:v>21.290625000000002</x:v>
      </x:c>
      <x:c r="H10" s="29" t="n">
        <x:f>G10-F10</x:f>
        <x:v>-0.399999999999995</x:v>
      </x:c>
      <x:c r="I10" s="24" t="n">
        <x:v>29.3</x:v>
      </x:c>
      <x:c r="J10" s="24" t="n">
        <x:v>28.6</x:v>
      </x:c>
      <x:c r="K10" s="29" t="n">
        <x:f>J10-I10</x:f>
        <x:v>-0.6999999999999993</x:v>
      </x:c>
      <x:c r="L10" s="24" t="n">
        <x:v>14.7</x:v>
      </x:c>
      <x:c r="M10" s="24" t="n">
        <x:v>16</x:v>
      </x:c>
      <x:c r="N10" s="29" t="n">
        <x:f>M10-L10</x:f>
        <x:v>1.3000000000000007</x:v>
      </x:c>
      <x:c r="O10" s="24" t="n">
        <x:v>21.851041666666667</x:v>
      </x:c>
      <x:c r="P10" s="24" t="n">
        <x:v>21.526041666666668</x:v>
      </x:c>
      <x:c r="Q10" s="29" t="n">
        <x:f>P10-O10</x:f>
        <x:v>-0.3249999999999993</x:v>
      </x:c>
    </x:row>
    <x:row r="11">
      <x:c r="A11" s="22" t="n">
        <x:v>1955</x:v>
      </x:c>
      <x:c r="B11" s="23" t="n">
        <x:v>20333</x:v>
      </x:c>
      <x:c r="C11" s="23" t="n">
        <x:v>20327</x:v>
      </x:c>
      <x:c r="D11" s="22" t="n">
        <x:v>0</x:v>
      </x:c>
      <x:c r="E11" s="22" t="n">
        <x:v>6</x:v>
      </x:c>
      <x:c r="F11" s="24" t="n">
        <x:v>22.821875</x:v>
      </x:c>
      <x:c r="G11" s="24" t="n">
        <x:v>23.303125</x:v>
      </x:c>
      <x:c r="H11" s="29" t="n">
        <x:f>G11-F11</x:f>
        <x:v>0.48125000000000284</x:v>
      </x:c>
      <x:c r="I11" s="24" t="n">
        <x:v>31.3</x:v>
      </x:c>
      <x:c r="J11" s="24" t="n">
        <x:v>31.6</x:v>
      </x:c>
      <x:c r="K11" s="29" t="n">
        <x:f>J11-I11</x:f>
        <x:v>0.3000000000000007</x:v>
      </x:c>
      <x:c r="L11" s="24" t="n">
        <x:v>16.6</x:v>
      </x:c>
      <x:c r="M11" s="24" t="n">
        <x:v>18.5</x:v>
      </x:c>
      <x:c r="N11" s="29" t="n">
        <x:f>M11-L11</x:f>
        <x:v>1.8999999999999986</x:v>
      </x:c>
      <x:c r="O11" s="24" t="n">
        <x:v>22.954166666666666</x:v>
      </x:c>
      <x:c r="P11" s="24" t="n">
        <x:v>23.81041666666667</x:v>
      </x:c>
      <x:c r="Q11" s="29" t="n">
        <x:f>P11-O11</x:f>
        <x:v>0.8562500000000028</x:v>
      </x:c>
    </x:row>
    <x:row r="12">
      <x:c r="A12" s="22" t="n">
        <x:v>1956</x:v>
      </x:c>
      <x:c r="B12" s="23" t="n">
        <x:v>20699</x:v>
      </x:c>
      <x:c r="C12" s="23" t="n">
        <x:v>20698</x:v>
      </x:c>
      <x:c r="D12" s="22" t="n">
        <x:v>3</x:v>
      </x:c>
      <x:c r="E12" s="22" t="n">
        <x:v>1</x:v>
      </x:c>
      <x:c r="F12" s="24" t="n">
        <x:v>20.005208333333332</x:v>
      </x:c>
      <x:c r="G12" s="24" t="n">
        <x:v>20.469791666666666</x:v>
      </x:c>
      <x:c r="H12" s="29" t="n">
        <x:f>G12-F12</x:f>
        <x:v>0.46458333333333357</x:v>
      </x:c>
      <x:c r="I12" s="24" t="n">
        <x:v>28.3</x:v>
      </x:c>
      <x:c r="J12" s="24" t="n">
        <x:v>28.3</x:v>
      </x:c>
      <x:c r="K12" s="29" t="n">
        <x:f>J12-I12</x:f>
        <x:v>0</x:v>
      </x:c>
      <x:c r="L12" s="24" t="n">
        <x:v>11.5</x:v>
      </x:c>
      <x:c r="M12" s="24" t="n">
        <x:v>11.5</x:v>
      </x:c>
      <x:c r="N12" s="29" t="n">
        <x:f>M12-L12</x:f>
        <x:v>0</x:v>
      </x:c>
      <x:c r="O12" s="24" t="n">
        <x:v>18.603125</x:v>
      </x:c>
      <x:c r="P12" s="24" t="n">
        <x:v>19.461458333333333</x:v>
      </x:c>
      <x:c r="Q12" s="29" t="n">
        <x:f>P12-O12</x:f>
        <x:v>0.8583333333333343</x:v>
      </x:c>
    </x:row>
    <x:row r="13">
      <x:c r="A13" s="22" t="n">
        <x:v>1957</x:v>
      </x:c>
      <x:c r="B13" s="23" t="n">
        <x:v>21064</x:v>
      </x:c>
      <x:c r="C13" s="23" t="n">
        <x:v>21062</x:v>
      </x:c>
      <x:c r="D13" s="22" t="n">
        <x:v>2</x:v>
      </x:c>
      <x:c r="E13" s="22" t="n">
        <x:v>2</x:v>
      </x:c>
      <x:c r="F13" s="24" t="n">
        <x:v>20.87708333333333</x:v>
      </x:c>
      <x:c r="G13" s="24" t="n">
        <x:v>20.695833333333333</x:v>
      </x:c>
      <x:c r="H13" s="29" t="n">
        <x:f>G13-F13</x:f>
        <x:v>-0.18124999999999858</x:v>
      </x:c>
      <x:c r="I13" s="24" t="n">
        <x:v>28.4</x:v>
      </x:c>
      <x:c r="J13" s="24" t="n">
        <x:v>28.1</x:v>
      </x:c>
      <x:c r="K13" s="29" t="n">
        <x:f>J13-I13</x:f>
        <x:v>-0.29999999999999716</x:v>
      </x:c>
      <x:c r="L13" s="24" t="n">
        <x:v>15.4</x:v>
      </x:c>
      <x:c r="M13" s="24" t="n">
        <x:v>15.4</x:v>
      </x:c>
      <x:c r="N13" s="29" t="n">
        <x:f>M13-L13</x:f>
        <x:v>0</x:v>
      </x:c>
      <x:c r="O13" s="24" t="n">
        <x:v>22.192708333333336</x:v>
      </x:c>
      <x:c r="P13" s="24" t="n">
        <x:v>22.133333333333333</x:v>
      </x:c>
      <x:c r="Q13" s="29" t="n">
        <x:f>P13-O13</x:f>
        <x:v>-0.05937500000000284</x:v>
      </x:c>
    </x:row>
    <x:row r="14">
      <x:c r="A14" s="22" t="n">
        <x:v>1958</x:v>
      </x:c>
      <x:c r="B14" s="23" t="n">
        <x:v>21429</x:v>
      </x:c>
      <x:c r="C14" s="23" t="n">
        <x:v>21426</x:v>
      </x:c>
      <x:c r="D14" s="22" t="n">
        <x:v>1</x:v>
      </x:c>
      <x:c r="E14" s="22" t="n">
        <x:v>3</x:v>
      </x:c>
      <x:c r="F14" s="24" t="n">
        <x:v>23.195833333333333</x:v>
      </x:c>
      <x:c r="G14" s="24" t="n">
        <x:v>22.483333333333334</x:v>
      </x:c>
      <x:c r="H14" s="29" t="n">
        <x:f>G14-F14</x:f>
        <x:v>-0.7124999999999986</x:v>
      </x:c>
      <x:c r="I14" s="24" t="n">
        <x:v>31.7</x:v>
      </x:c>
      <x:c r="J14" s="24" t="n">
        <x:v>29.9</x:v>
      </x:c>
      <x:c r="K14" s="29" t="n">
        <x:f>J14-I14</x:f>
        <x:v>-1.8000000000000007</x:v>
      </x:c>
      <x:c r="L14" s="24" t="n">
        <x:v>16.4</x:v>
      </x:c>
      <x:c r="M14" s="24" t="n">
        <x:v>16.1</x:v>
      </x:c>
      <x:c r="N14" s="29" t="n">
        <x:f>M14-L14</x:f>
        <x:v>-0.29999999999999716</x:v>
      </x:c>
      <x:c r="O14" s="24" t="n">
        <x:v>22.873958333333334</x:v>
      </x:c>
      <x:c r="P14" s="24" t="n">
        <x:v>22.73229166666667</x:v>
      </x:c>
      <x:c r="Q14" s="29" t="n">
        <x:f>P14-O14</x:f>
        <x:v>-0.14166666666666572</x:v>
      </x:c>
    </x:row>
    <x:row r="15">
      <x:c r="A15" s="22" t="n">
        <x:v>1959</x:v>
      </x:c>
      <x:c r="B15" s="23" t="n">
        <x:v>21794</x:v>
      </x:c>
      <x:c r="C15" s="23" t="n">
        <x:v>21790</x:v>
      </x:c>
      <x:c r="D15" s="22" t="n">
        <x:v>0</x:v>
      </x:c>
      <x:c r="E15" s="22" t="n">
        <x:v>4</x:v>
      </x:c>
      <x:c r="F15" s="24" t="n">
        <x:v>20.584375</x:v>
      </x:c>
      <x:c r="G15" s="24" t="n">
        <x:v>23.670833333333334</x:v>
      </x:c>
      <x:c r="H15" s="29" t="n">
        <x:f>G15-F15</x:f>
        <x:v>3.086458333333333</x:v>
      </x:c>
      <x:c r="I15" s="24" t="n">
        <x:v>27.5</x:v>
      </x:c>
      <x:c r="J15" s="24" t="n">
        <x:v>31</x:v>
      </x:c>
      <x:c r="K15" s="29" t="n">
        <x:f>J15-I15</x:f>
        <x:v>3.5</x:v>
      </x:c>
      <x:c r="L15" s="24" t="n">
        <x:v>14.4</x:v>
      </x:c>
      <x:c r="M15" s="24" t="n">
        <x:v>16.8</x:v>
      </x:c>
      <x:c r="N15" s="29" t="n">
        <x:f>M15-L15</x:f>
        <x:v>2.4000000000000004</x:v>
      </x:c>
      <x:c r="O15" s="24" t="n">
        <x:v>21.404166666666665</x:v>
      </x:c>
      <x:c r="P15" s="24" t="n">
        <x:v>24.137500000000003</x:v>
      </x:c>
      <x:c r="Q15" s="29" t="n">
        <x:f>P15-O15</x:f>
        <x:v>2.733333333333338</x:v>
      </x:c>
    </x:row>
    <x:row r="16">
      <x:c r="A16" s="22" t="n">
        <x:v>1960</x:v>
      </x:c>
      <x:c r="B16" s="23" t="n">
        <x:v>22160</x:v>
      </x:c>
      <x:c r="C16" s="23" t="n">
        <x:v>22154</x:v>
      </x:c>
      <x:c r="D16" s="22" t="n">
        <x:v>0</x:v>
      </x:c>
      <x:c r="E16" s="22" t="n">
        <x:v>6</x:v>
      </x:c>
      <x:c r="F16" s="24" t="n">
        <x:v>22.696875</x:v>
      </x:c>
      <x:c r="G16" s="24" t="n">
        <x:v>25.882291666666667</x:v>
      </x:c>
      <x:c r="H16" s="29" t="n">
        <x:f>G16-F16</x:f>
        <x:v>3.1854166666666686</x:v>
      </x:c>
      <x:c r="I16" s="24" t="n">
        <x:v>29.7</x:v>
      </x:c>
      <x:c r="J16" s="24" t="n">
        <x:v>34.5</x:v>
      </x:c>
      <x:c r="K16" s="29" t="n">
        <x:f>J16-I16</x:f>
        <x:v>4.800000000000001</x:v>
      </x:c>
      <x:c r="L16" s="24" t="n">
        <x:v>16.6</x:v>
      </x:c>
      <x:c r="M16" s="24" t="n">
        <x:v>19.8</x:v>
      </x:c>
      <x:c r="N16" s="29" t="n">
        <x:f>M16-L16</x:f>
        <x:v>3.1999999999999993</x:v>
      </x:c>
      <x:c r="O16" s="24" t="n">
        <x:v>24.31041666666667</x:v>
      </x:c>
      <x:c r="P16" s="24" t="n">
        <x:v>26.5</x:v>
      </x:c>
      <x:c r="Q16" s="29" t="n">
        <x:f>P16-O16</x:f>
        <x:v>2.1895833333333314</x:v>
      </x:c>
    </x:row>
    <x:row r="17">
      <x:c r="A17" s="22" t="n">
        <x:v>1961</x:v>
      </x:c>
      <x:c r="B17" s="23" t="n">
        <x:v>22525</x:v>
      </x:c>
      <x:c r="C17" s="23" t="n">
        <x:v>22518</x:v>
      </x:c>
      <x:c r="D17" s="22" t="n">
        <x:v>0</x:v>
      </x:c>
      <x:c r="E17" s="22" t="n">
        <x:v>7</x:v>
      </x:c>
      <x:c r="F17" s="24" t="n">
        <x:v>21.134375</x:v>
      </x:c>
      <x:c r="G17" s="24" t="n">
        <x:v>22.76875</x:v>
      </x:c>
      <x:c r="H17" s="29" t="n">
        <x:f>G17-F17</x:f>
        <x:v>1.6343750000000021</x:v>
      </x:c>
      <x:c r="I17" s="24" t="n">
        <x:v>29</x:v>
      </x:c>
      <x:c r="J17" s="24" t="n">
        <x:v>29.8</x:v>
      </x:c>
      <x:c r="K17" s="29" t="n">
        <x:f>J17-I17</x:f>
        <x:v>0.8000000000000007</x:v>
      </x:c>
      <x:c r="L17" s="24" t="n">
        <x:v>14.5</x:v>
      </x:c>
      <x:c r="M17" s="24" t="n">
        <x:v>15.3</x:v>
      </x:c>
      <x:c r="N17" s="29" t="n">
        <x:f>M17-L17</x:f>
        <x:v>0.8000000000000007</x:v>
      </x:c>
      <x:c r="O17" s="24" t="n">
        <x:v>21.710416666666667</x:v>
      </x:c>
      <x:c r="P17" s="24" t="n">
        <x:v>23.620833333333334</x:v>
      </x:c>
      <x:c r="Q17" s="29" t="n">
        <x:f>P17-O17</x:f>
        <x:v>1.9104166666666664</x:v>
      </x:c>
    </x:row>
    <x:row r="18">
      <x:c r="A18" s="22" t="n">
        <x:v>1962</x:v>
      </x:c>
      <x:c r="B18" s="23" t="n">
        <x:v>22890</x:v>
      </x:c>
      <x:c r="C18" s="23" t="n">
        <x:v>22889</x:v>
      </x:c>
      <x:c r="D18" s="22" t="n">
        <x:v>3</x:v>
      </x:c>
      <x:c r="E18" s="22" t="n">
        <x:v>1</x:v>
      </x:c>
      <x:c r="F18" s="24" t="n">
        <x:v>24.1375</x:v>
      </x:c>
      <x:c r="G18" s="24" t="n">
        <x:v>24.211458333333333</x:v>
      </x:c>
      <x:c r="H18" s="29" t="n">
        <x:f>G18-F18</x:f>
        <x:v>0.07395833333333357</x:v>
      </x:c>
      <x:c r="I18" s="24" t="n">
        <x:v>33.8</x:v>
      </x:c>
      <x:c r="J18" s="24" t="n">
        <x:v>32.7</x:v>
      </x:c>
      <x:c r="K18" s="29" t="n">
        <x:f>J18-I18</x:f>
        <x:v>-1.0999999999999943</x:v>
      </x:c>
      <x:c r="L18" s="24" t="n">
        <x:v>16.8</x:v>
      </x:c>
      <x:c r="M18" s="24" t="n">
        <x:v>16.8</x:v>
      </x:c>
      <x:c r="N18" s="29" t="n">
        <x:f>M18-L18</x:f>
        <x:v>0</x:v>
      </x:c>
      <x:c r="O18" s="24" t="n">
        <x:v>24.642708333333335</x:v>
      </x:c>
      <x:c r="P18" s="24" t="n">
        <x:v>24.68541666666667</x:v>
      </x:c>
      <x:c r="Q18" s="29" t="n">
        <x:f>P18-O18</x:f>
        <x:v>0.04270833333333357</x:v>
      </x:c>
    </x:row>
    <x:row r="19">
      <x:c r="A19" s="22" t="n">
        <x:v>1963</x:v>
      </x:c>
      <x:c r="B19" s="23" t="n">
        <x:v>23255</x:v>
      </x:c>
      <x:c r="C19" s="23" t="n">
        <x:v>23253</x:v>
      </x:c>
      <x:c r="D19" s="22" t="n">
        <x:v>2</x:v>
      </x:c>
      <x:c r="E19" s="22" t="n">
        <x:v>2</x:v>
      </x:c>
      <x:c r="F19" s="24" t="n">
        <x:v>19.248958333333334</x:v>
      </x:c>
      <x:c r="G19" s="24" t="n">
        <x:v>21.46875</x:v>
      </x:c>
      <x:c r="H19" s="29" t="n">
        <x:f>G19-F19</x:f>
        <x:v>2.2197916666666657</x:v>
      </x:c>
      <x:c r="I19" s="24" t="n">
        <x:v>29</x:v>
      </x:c>
      <x:c r="J19" s="24" t="n">
        <x:v>29.8</x:v>
      </x:c>
      <x:c r="K19" s="29" t="n">
        <x:f>J19-I19</x:f>
        <x:v>0.8000000000000007</x:v>
      </x:c>
      <x:c r="L19" s="24" t="n">
        <x:v>12.8</x:v>
      </x:c>
      <x:c r="M19" s="24" t="n">
        <x:v>16.5</x:v>
      </x:c>
      <x:c r="N19" s="29" t="n">
        <x:f>M19-L19</x:f>
        <x:v>3.6999999999999993</x:v>
      </x:c>
      <x:c r="O19" s="24" t="n">
        <x:v>19.535416666666666</x:v>
      </x:c>
      <x:c r="P19" s="24" t="n">
        <x:v>21.511458333333334</x:v>
      </x:c>
      <x:c r="Q19" s="29" t="n">
        <x:f>P19-O19</x:f>
        <x:v>1.9760416666666671</x:v>
      </x:c>
    </x:row>
    <x:row r="20">
      <x:c r="A20" s="22" t="n">
        <x:v>1964</x:v>
      </x:c>
      <x:c r="B20" s="23" t="n">
        <x:v>23621</x:v>
      </x:c>
      <x:c r="C20" s="23" t="n">
        <x:v>23617</x:v>
      </x:c>
      <x:c r="D20" s="22" t="n">
        <x:v>0</x:v>
      </x:c>
      <x:c r="E20" s="22" t="n">
        <x:v>4</x:v>
      </x:c>
      <x:c r="F20" s="24" t="n">
        <x:v>24.657291666666666</x:v>
      </x:c>
      <x:c r="G20" s="24" t="n">
        <x:v>22.834375</x:v>
      </x:c>
      <x:c r="H20" s="29" t="n">
        <x:f>G20-F20</x:f>
        <x:v>-1.8229166666666643</x:v>
      </x:c>
      <x:c r="I20" s="24" t="n">
        <x:v>33.8</x:v>
      </x:c>
      <x:c r="J20" s="24" t="n">
        <x:v>29.4</x:v>
      </x:c>
      <x:c r="K20" s="29" t="n">
        <x:f>J20-I20</x:f>
        <x:v>-4.399999999999999</x:v>
      </x:c>
      <x:c r="L20" s="24" t="n">
        <x:v>16.6</x:v>
      </x:c>
      <x:c r="M20" s="24" t="n">
        <x:v>17.6</x:v>
      </x:c>
      <x:c r="N20" s="29" t="n">
        <x:f>M20-L20</x:f>
        <x:v>1</x:v>
      </x:c>
      <x:c r="O20" s="24" t="n">
        <x:v>25.292708333333337</x:v>
      </x:c>
      <x:c r="P20" s="24" t="n">
        <x:v>23.99375</x:v>
      </x:c>
      <x:c r="Q20" s="29" t="n">
        <x:f>P20-O20</x:f>
        <x:v>-1.2989583333333385</x:v>
      </x:c>
    </x:row>
    <x:row r="21">
      <x:c r="A21" s="22" t="n">
        <x:v>1965</x:v>
      </x:c>
      <x:c r="B21" s="23" t="n">
        <x:v>23986</x:v>
      </x:c>
      <x:c r="C21" s="23" t="n">
        <x:v>23981</x:v>
      </x:c>
      <x:c r="D21" s="22" t="n">
        <x:v>0</x:v>
      </x:c>
      <x:c r="E21" s="22" t="n">
        <x:v>5</x:v>
      </x:c>
      <x:c r="F21" s="24" t="n">
        <x:v>17.088541666666668</x:v>
      </x:c>
      <x:c r="G21" s="24" t="n">
        <x:v>23.028125000000003</x:v>
      </x:c>
      <x:c r="H21" s="29" t="n">
        <x:f>G21-F21</x:f>
        <x:v>5.939583333333335</x:v>
      </x:c>
      <x:c r="I21" s="24" t="n">
        <x:v>26.2</x:v>
      </x:c>
      <x:c r="J21" s="24" t="n">
        <x:v>31.7</x:v>
      </x:c>
      <x:c r="K21" s="29" t="n">
        <x:f>J21-I21</x:f>
        <x:v>5.5</x:v>
      </x:c>
      <x:c r="L21" s="24" t="n">
        <x:v>9</x:v>
      </x:c>
      <x:c r="M21" s="24" t="n">
        <x:v>16.8</x:v>
      </x:c>
      <x:c r="N21" s="29" t="n">
        <x:f>M21-L21</x:f>
        <x:v>7.800000000000001</x:v>
      </x:c>
      <x:c r="O21" s="24" t="n">
        <x:v>15.586458333333333</x:v>
      </x:c>
      <x:c r="P21" s="24" t="n">
        <x:v>23.426041666666666</x:v>
      </x:c>
      <x:c r="Q21" s="29" t="n">
        <x:f>P21-O21</x:f>
        <x:v>7.839583333333334</x:v>
      </x:c>
    </x:row>
    <x:row r="22">
      <x:c r="A22" s="22" t="n">
        <x:v>1966</x:v>
      </x:c>
      <x:c r="B22" s="23" t="n">
        <x:v>24351</x:v>
      </x:c>
      <x:c r="C22" s="23" t="n">
        <x:v>24345</x:v>
      </x:c>
      <x:c r="D22" s="22" t="n">
        <x:v>0</x:v>
      </x:c>
      <x:c r="E22" s="22" t="n">
        <x:v>6</x:v>
      </x:c>
      <x:c r="F22" s="24" t="n">
        <x:v>22.307291666666668</x:v>
      </x:c>
      <x:c r="G22" s="24" t="n">
        <x:v>23.890625</x:v>
      </x:c>
      <x:c r="H22" s="29" t="n">
        <x:f>G22-F22</x:f>
        <x:v>1.5833333333333321</x:v>
      </x:c>
      <x:c r="I22" s="24" t="n">
        <x:v>31.4</x:v>
      </x:c>
      <x:c r="J22" s="24" t="n">
        <x:v>32.1</x:v>
      </x:c>
      <x:c r="K22" s="29" t="n">
        <x:f>J22-I22</x:f>
        <x:v>0.7000000000000028</x:v>
      </x:c>
      <x:c r="L22" s="24" t="n">
        <x:v>16.4</x:v>
      </x:c>
      <x:c r="M22" s="24" t="n">
        <x:v>16.4</x:v>
      </x:c>
      <x:c r="N22" s="29" t="n">
        <x:f>M22-L22</x:f>
        <x:v>0</x:v>
      </x:c>
      <x:c r="O22" s="24" t="n">
        <x:v>22.842708333333334</x:v>
      </x:c>
      <x:c r="P22" s="24" t="n">
        <x:v>23.032291666666666</x:v>
      </x:c>
      <x:c r="Q22" s="29" t="n">
        <x:f>P22-O22</x:f>
        <x:v>0.18958333333333144</x:v>
      </x:c>
    </x:row>
    <x:row r="23">
      <x:c r="A23" s="22" t="n">
        <x:v>1967</x:v>
      </x:c>
      <x:c r="B23" s="23" t="n">
        <x:v>24716</x:v>
      </x:c>
      <x:c r="C23" s="23" t="n">
        <x:v>24709</x:v>
      </x:c>
      <x:c r="D23" s="22" t="n">
        <x:v>0</x:v>
      </x:c>
      <x:c r="E23" s="22" t="n">
        <x:v>7</x:v>
      </x:c>
      <x:c r="F23" s="24" t="n">
        <x:v>22.98229166666667</x:v>
      </x:c>
      <x:c r="G23" s="24" t="n">
        <x:v>21.192708333333336</x:v>
      </x:c>
      <x:c r="H23" s="29" t="n">
        <x:f>G23-F23</x:f>
        <x:v>-1.7895833333333329</x:v>
      </x:c>
      <x:c r="I23" s="24" t="n">
        <x:v>30.5</x:v>
      </x:c>
      <x:c r="J23" s="24" t="n">
        <x:v>28.1</x:v>
      </x:c>
      <x:c r="K23" s="29" t="n">
        <x:f>J23-I23</x:f>
        <x:v>-2.3999999999999986</x:v>
      </x:c>
      <x:c r="L23" s="24" t="n">
        <x:v>16.6</x:v>
      </x:c>
      <x:c r="M23" s="24" t="n">
        <x:v>16.2</x:v>
      </x:c>
      <x:c r="N23" s="29" t="n">
        <x:f>M23-L23</x:f>
        <x:v>-0.40000000000000213</x:v>
      </x:c>
      <x:c r="O23" s="24" t="n">
        <x:v>22.598958333333336</x:v>
      </x:c>
      <x:c r="P23" s="24" t="n">
        <x:v>22.55</x:v>
      </x:c>
      <x:c r="Q23" s="29" t="n">
        <x:f>P23-O23</x:f>
        <x:v>-0.04895833333333499</x:v>
      </x:c>
    </x:row>
    <x:row r="24">
      <x:c r="A24" s="22" t="n">
        <x:v>1968</x:v>
      </x:c>
      <x:c r="B24" s="23" t="n">
        <x:v>25082</x:v>
      </x:c>
      <x:c r="C24" s="23" t="n">
        <x:v>25080</x:v>
      </x:c>
      <x:c r="D24" s="22" t="n">
        <x:v>2</x:v>
      </x:c>
      <x:c r="E24" s="22" t="n">
        <x:v>2</x:v>
      </x:c>
      <x:c r="F24" s="24" t="n">
        <x:v>21.636458333333334</x:v>
      </x:c>
      <x:c r="G24" s="24" t="n">
        <x:v>21.945833333333333</x:v>
      </x:c>
      <x:c r="H24" s="29" t="n">
        <x:f>G24-F24</x:f>
        <x:v>0.3093749999999993</x:v>
      </x:c>
      <x:c r="I24" s="24" t="n">
        <x:v>28.9</x:v>
      </x:c>
      <x:c r="J24" s="24" t="n">
        <x:v>28.9</x:v>
      </x:c>
      <x:c r="K24" s="29" t="n">
        <x:f>J24-I24</x:f>
        <x:v>0</x:v>
      </x:c>
      <x:c r="L24" s="24" t="n">
        <x:v>15</x:v>
      </x:c>
      <x:c r="M24" s="24" t="n">
        <x:v>15</x:v>
      </x:c>
      <x:c r="N24" s="29" t="n">
        <x:f>M24-L24</x:f>
        <x:v>0</x:v>
      </x:c>
      <x:c r="O24" s="24" t="n">
        <x:v>20.24375</x:v>
      </x:c>
      <x:c r="P24" s="24" t="n">
        <x:v>20.770833333333332</x:v>
      </x:c>
      <x:c r="Q24" s="29" t="n">
        <x:f>P24-O24</x:f>
        <x:v>0.5270833333333336</x:v>
      </x:c>
    </x:row>
    <x:row r="25">
      <x:c r="A25" s="22" t="n">
        <x:v>1969</x:v>
      </x:c>
      <x:c r="B25" s="23" t="n">
        <x:v>25447</x:v>
      </x:c>
      <x:c r="C25" s="23" t="n">
        <x:v>25444</x:v>
      </x:c>
      <x:c r="D25" s="22" t="n">
        <x:v>1</x:v>
      </x:c>
      <x:c r="E25" s="22" t="n">
        <x:v>3</x:v>
      </x:c>
      <x:c r="F25" s="24" t="n">
        <x:v>19.30625</x:v>
      </x:c>
      <x:c r="G25" s="24" t="n">
        <x:v>18.110416666666666</x:v>
      </x:c>
      <x:c r="H25" s="29" t="n">
        <x:f>G25-F25</x:f>
        <x:v>-1.1958333333333329</x:v>
      </x:c>
      <x:c r="I25" s="24" t="n">
        <x:v>25.3</x:v>
      </x:c>
      <x:c r="J25" s="24" t="n">
        <x:v>27.4</x:v>
      </x:c>
      <x:c r="K25" s="29" t="n">
        <x:f>J25-I25</x:f>
        <x:v>2.099999999999998</x:v>
      </x:c>
      <x:c r="L25" s="24" t="n">
        <x:v>14.2</x:v>
      </x:c>
      <x:c r="M25" s="24" t="n">
        <x:v>14.7</x:v>
      </x:c>
      <x:c r="N25" s="29" t="n">
        <x:f>M25-L25</x:f>
        <x:v>0.5</x:v>
      </x:c>
      <x:c r="O25" s="24" t="n">
        <x:v>19.6625</x:v>
      </x:c>
      <x:c r="P25" s="24" t="n">
        <x:v>18.22083333333333</x:v>
      </x:c>
      <x:c r="Q25" s="29" t="n">
        <x:f>P25-O25</x:f>
        <x:v>-1.44166666666667</x:v>
      </x:c>
    </x:row>
    <x:row r="26">
      <x:c r="A26" s="22" t="n">
        <x:v>1970</x:v>
      </x:c>
      <x:c r="B26" s="23" t="n">
        <x:v>25812</x:v>
      </x:c>
      <x:c r="C26" s="23" t="n">
        <x:v>25808</x:v>
      </x:c>
      <x:c r="D26" s="22" t="n">
        <x:v>0</x:v>
      </x:c>
      <x:c r="E26" s="22" t="n">
        <x:v>4</x:v>
      </x:c>
      <x:c r="F26" s="24" t="n">
        <x:v>22.886458333333334</x:v>
      </x:c>
      <x:c r="G26" s="24" t="n">
        <x:v>22.566666666666666</x:v>
      </x:c>
      <x:c r="H26" s="29" t="n">
        <x:f>G26-F26</x:f>
        <x:v>-0.31979166666666714</x:v>
      </x:c>
      <x:c r="I26" s="24" t="n">
        <x:v>31</x:v>
      </x:c>
      <x:c r="J26" s="24" t="n">
        <x:v>29.2</x:v>
      </x:c>
      <x:c r="K26" s="29" t="n">
        <x:f>J26-I26</x:f>
        <x:v>-1.8000000000000007</x:v>
      </x:c>
      <x:c r="L26" s="24" t="n">
        <x:v>17.2</x:v>
      </x:c>
      <x:c r="M26" s="24" t="n">
        <x:v>18</x:v>
      </x:c>
      <x:c r="N26" s="29" t="n">
        <x:f>M26-L26</x:f>
        <x:v>0.8000000000000007</x:v>
      </x:c>
      <x:c r="O26" s="24" t="n">
        <x:v>24.155208333333334</x:v>
      </x:c>
      <x:c r="P26" s="24" t="n">
        <x:v>23.792708333333334</x:v>
      </x:c>
      <x:c r="Q26" s="29" t="n">
        <x:f>P26-O26</x:f>
        <x:v>-0.3625000000000007</x:v>
      </x:c>
    </x:row>
    <x:row r="27">
      <x:c r="A27" s="22" t="n">
        <x:v>1971</x:v>
      </x:c>
      <x:c r="B27" s="23" t="n">
        <x:v>26177</x:v>
      </x:c>
      <x:c r="C27" s="23" t="n">
        <x:v>26172</x:v>
      </x:c>
      <x:c r="D27" s="22" t="n">
        <x:v>0</x:v>
      </x:c>
      <x:c r="E27" s="22" t="n">
        <x:v>5</x:v>
      </x:c>
      <x:c r="F27" s="24" t="n">
        <x:v>21.896875</x:v>
      </x:c>
      <x:c r="G27" s="24" t="n">
        <x:v>24.18958333333333</x:v>
      </x:c>
      <x:c r="H27" s="29" t="n">
        <x:f>G27-F27</x:f>
        <x:v>2.29270833333333</x:v>
      </x:c>
      <x:c r="I27" s="24" t="n">
        <x:v>28</x:v>
      </x:c>
      <x:c r="J27" s="24" t="n">
        <x:v>30.8</x:v>
      </x:c>
      <x:c r="K27" s="29" t="n">
        <x:f>J27-I27</x:f>
        <x:v>2.8000000000000007</x:v>
      </x:c>
      <x:c r="L27" s="24" t="n">
        <x:v>15.2</x:v>
      </x:c>
      <x:c r="M27" s="24" t="n">
        <x:v>18.1</x:v>
      </x:c>
      <x:c r="N27" s="29" t="n">
        <x:f>M27-L27</x:f>
        <x:v>2.900000000000002</x:v>
      </x:c>
      <x:c r="O27" s="24" t="n">
        <x:v>23.348958333333336</x:v>
      </x:c>
      <x:c r="P27" s="24" t="n">
        <x:v>24.1875</x:v>
      </x:c>
      <x:c r="Q27" s="29" t="n">
        <x:f>P27-O27</x:f>
        <x:v>0.8385416666666643</x:v>
      </x:c>
    </x:row>
    <x:row r="28">
      <x:c r="A28" s="22" t="n">
        <x:v>1972</x:v>
      </x:c>
      <x:c r="B28" s="23" t="n">
        <x:v>26543</x:v>
      </x:c>
      <x:c r="C28" s="23" t="n">
        <x:v>26536</x:v>
      </x:c>
      <x:c r="D28" s="22" t="n">
        <x:v>0</x:v>
      </x:c>
      <x:c r="E28" s="22" t="n">
        <x:v>7</x:v>
      </x:c>
      <x:c r="F28" s="24" t="n">
        <x:v>17.679166666666667</x:v>
      </x:c>
      <x:c r="G28" s="24" t="n">
        <x:v>22.228125</x:v>
      </x:c>
      <x:c r="H28" s="29" t="n">
        <x:f>G28-F28</x:f>
        <x:v>4.548958333333331</x:v>
      </x:c>
      <x:c r="I28" s="24" t="n">
        <x:v>22.7</x:v>
      </x:c>
      <x:c r="J28" s="24" t="n">
        <x:v>29.6</x:v>
      </x:c>
      <x:c r="K28" s="29" t="n">
        <x:f>J28-I28</x:f>
        <x:v>6.900000000000002</x:v>
      </x:c>
      <x:c r="L28" s="24" t="n">
        <x:v>12.4</x:v>
      </x:c>
      <x:c r="M28" s="24" t="n">
        <x:v>15.9</x:v>
      </x:c>
      <x:c r="N28" s="29" t="n">
        <x:f>M28-L28</x:f>
        <x:v>3.5</x:v>
      </x:c>
      <x:c r="O28" s="24" t="n">
        <x:v>18.21666666666667</x:v>
      </x:c>
      <x:c r="P28" s="24" t="n">
        <x:v>22.49791666666667</x:v>
      </x:c>
      <x:c r="Q28" s="29" t="n">
        <x:f>P28-O28</x:f>
        <x:v>4.28125</x:v>
      </x:c>
    </x:row>
    <x:row r="29">
      <x:c r="A29" s="22" t="n">
        <x:v>1973</x:v>
      </x:c>
      <x:c r="B29" s="23" t="n">
        <x:v>26908</x:v>
      </x:c>
      <x:c r="C29" s="23" t="n">
        <x:v>26907</x:v>
      </x:c>
      <x:c r="D29" s="22" t="n">
        <x:v>3</x:v>
      </x:c>
      <x:c r="E29" s="22" t="n">
        <x:v>1</x:v>
      </x:c>
      <x:c r="F29" s="24" t="n">
        <x:v>20.540625</x:v>
      </x:c>
      <x:c r="G29" s="24" t="n">
        <x:v>20.463541666666668</x:v>
      </x:c>
      <x:c r="H29" s="29" t="n">
        <x:f>G29-F29</x:f>
        <x:v>-0.07708333333333073</x:v>
      </x:c>
      <x:c r="I29" s="24" t="n">
        <x:v>27.7</x:v>
      </x:c>
      <x:c r="J29" s="24" t="n">
        <x:v>26.7</x:v>
      </x:c>
      <x:c r="K29" s="29" t="n">
        <x:f>J29-I29</x:f>
        <x:v>-1</x:v>
      </x:c>
      <x:c r="L29" s="24" t="n">
        <x:v>15.4</x:v>
      </x:c>
      <x:c r="M29" s="24" t="n">
        <x:v>15.1</x:v>
      </x:c>
      <x:c r="N29" s="29" t="n">
        <x:f>M29-L29</x:f>
        <x:v>-0.3000000000000007</x:v>
      </x:c>
      <x:c r="O29" s="24" t="n">
        <x:v>21.38125</x:v>
      </x:c>
      <x:c r="P29" s="24" t="n">
        <x:v>21.121875</x:v>
      </x:c>
      <x:c r="Q29" s="29" t="n">
        <x:f>P29-O29</x:f>
        <x:v>-0.25937500000000213</x:v>
      </x:c>
    </x:row>
    <x:row r="30">
      <x:c r="A30" s="22" t="n">
        <x:v>1974</x:v>
      </x:c>
      <x:c r="B30" s="23" t="n">
        <x:v>27273</x:v>
      </x:c>
      <x:c r="C30" s="23" t="n">
        <x:v>27271</x:v>
      </x:c>
      <x:c r="D30" s="22" t="n">
        <x:v>2</x:v>
      </x:c>
      <x:c r="E30" s="22" t="n">
        <x:v>2</x:v>
      </x:c>
      <x:c r="F30" s="24" t="n">
        <x:v>21.067708333333332</x:v>
      </x:c>
      <x:c r="G30" s="24" t="n">
        <x:v>20.963541666666668</x:v>
      </x:c>
      <x:c r="H30" s="29" t="n">
        <x:f>G30-F30</x:f>
        <x:v>-0.1041666666666643</x:v>
      </x:c>
      <x:c r="I30" s="24" t="n">
        <x:v>28.7</x:v>
      </x:c>
      <x:c r="J30" s="24" t="n">
        <x:v>28.7</x:v>
      </x:c>
      <x:c r="K30" s="29" t="n">
        <x:f>J30-I30</x:f>
        <x:v>0</x:v>
      </x:c>
      <x:c r="L30" s="24" t="n">
        <x:v>14.6</x:v>
      </x:c>
      <x:c r="M30" s="24" t="n">
        <x:v>14.6</x:v>
      </x:c>
      <x:c r="N30" s="29" t="n">
        <x:f>M30-L30</x:f>
        <x:v>0</x:v>
      </x:c>
      <x:c r="O30" s="24" t="n">
        <x:v>20.619791666666668</x:v>
      </x:c>
      <x:c r="P30" s="24" t="n">
        <x:v>20.23645833333333</x:v>
      </x:c>
      <x:c r="Q30" s="29" t="n">
        <x:f>P30-O30</x:f>
        <x:v>-0.3833333333333364</x:v>
      </x:c>
    </x:row>
    <x:row r="31">
      <x:c r="A31" s="22" t="n">
        <x:v>1975</x:v>
      </x:c>
      <x:c r="B31" s="23" t="n">
        <x:v>27638</x:v>
      </x:c>
      <x:c r="C31" s="23" t="n">
        <x:v>27635</x:v>
      </x:c>
      <x:c r="D31" s="22" t="n">
        <x:v>1</x:v>
      </x:c>
      <x:c r="E31" s="22" t="n">
        <x:v>3</x:v>
      </x:c>
      <x:c r="F31" s="24" t="n">
        <x:v>20.39270833333333</x:v>
      </x:c>
      <x:c r="G31" s="24" t="n">
        <x:v>20.164583333333333</x:v>
      </x:c>
      <x:c r="H31" s="29" t="n">
        <x:f>G31-F31</x:f>
        <x:v>-0.22812499999999858</x:v>
      </x:c>
      <x:c r="I31" s="24" t="n">
        <x:v>27.3</x:v>
      </x:c>
      <x:c r="J31" s="24" t="n">
        <x:v>28.4</x:v>
      </x:c>
      <x:c r="K31" s="29" t="n">
        <x:f>J31-I31</x:f>
        <x:v>1.0999999999999979</x:v>
      </x:c>
      <x:c r="L31" s="24" t="n">
        <x:v>15.8</x:v>
      </x:c>
      <x:c r="M31" s="24" t="n">
        <x:v>14.4</x:v>
      </x:c>
      <x:c r="N31" s="29" t="n">
        <x:f>M31-L31</x:f>
        <x:v>-1.4000000000000004</x:v>
      </x:c>
      <x:c r="O31" s="24" t="n">
        <x:v>21.420833333333334</x:v>
      </x:c>
      <x:c r="P31" s="24" t="n">
        <x:v>20.878125</x:v>
      </x:c>
      <x:c r="Q31" s="29" t="n">
        <x:f>P31-O31</x:f>
        <x:v>-0.5427083333333336</x:v>
      </x:c>
    </x:row>
    <x:row r="32">
      <x:c r="A32" s="22" t="n">
        <x:v>1976</x:v>
      </x:c>
      <x:c r="B32" s="23" t="n">
        <x:v>28004</x:v>
      </x:c>
      <x:c r="C32" s="23" t="n">
        <x:v>27999</x:v>
      </x:c>
      <x:c r="D32" s="22" t="n">
        <x:v>0</x:v>
      </x:c>
      <x:c r="E32" s="22" t="n">
        <x:v>5</x:v>
      </x:c>
      <x:c r="F32" s="24" t="n">
        <x:v>20.475</x:v>
      </x:c>
      <x:c r="G32" s="24" t="n">
        <x:v>19.9625</x:v>
      </x:c>
      <x:c r="H32" s="29" t="n">
        <x:f>G32-F32</x:f>
        <x:v>-0.5125000000000028</x:v>
      </x:c>
      <x:c r="I32" s="24" t="n">
        <x:v>26.5</x:v>
      </x:c>
      <x:c r="J32" s="24" t="n">
        <x:v>26.3</x:v>
      </x:c>
      <x:c r="K32" s="29" t="n">
        <x:f>J32-I32</x:f>
        <x:v>-0.1999999999999993</x:v>
      </x:c>
      <x:c r="L32" s="24" t="n">
        <x:v>14.8</x:v>
      </x:c>
      <x:c r="M32" s="24" t="n">
        <x:v>14.3</x:v>
      </x:c>
      <x:c r="N32" s="29" t="n">
        <x:f>M32-L32</x:f>
        <x:v>-0.5</x:v>
      </x:c>
      <x:c r="O32" s="24" t="n">
        <x:v>20.365625</x:v>
      </x:c>
      <x:c r="P32" s="24" t="n">
        <x:v>20.471875</x:v>
      </x:c>
      <x:c r="Q32" s="29" t="n">
        <x:f>P32-O32</x:f>
        <x:v>0.10624999999999929</x:v>
      </x:c>
    </x:row>
    <x:row r="33">
      <x:c r="A33" s="22" t="n">
        <x:v>1977</x:v>
      </x:c>
      <x:c r="B33" s="23" t="n">
        <x:v>28369</x:v>
      </x:c>
      <x:c r="C33" s="23" t="n">
        <x:v>28363</x:v>
      </x:c>
      <x:c r="D33" s="22" t="n">
        <x:v>0</x:v>
      </x:c>
      <x:c r="E33" s="22" t="n">
        <x:v>6</x:v>
      </x:c>
      <x:c r="F33" s="24" t="n">
        <x:v>19.719791666666666</x:v>
      </x:c>
      <x:c r="G33" s="24" t="n">
        <x:v>17.977083333333333</x:v>
      </x:c>
      <x:c r="H33" s="29" t="n">
        <x:f>G33-F33</x:f>
        <x:v>-1.7427083333333329</x:v>
      </x:c>
      <x:c r="I33" s="24" t="n">
        <x:v>25.5</x:v>
      </x:c>
      <x:c r="J33" s="24" t="n">
        <x:v>28.3</x:v>
      </x:c>
      <x:c r="K33" s="29" t="n">
        <x:f>J33-I33</x:f>
        <x:v>2.8000000000000007</x:v>
      </x:c>
      <x:c r="L33" s="24" t="n">
        <x:v>15</x:v>
      </x:c>
      <x:c r="M33" s="24" t="n">
        <x:v>10.6</x:v>
      </x:c>
      <x:c r="N33" s="29" t="n">
        <x:f>M33-L33</x:f>
        <x:v>-4.4</x:v>
      </x:c>
      <x:c r="O33" s="24" t="n">
        <x:v>20.953125</x:v>
      </x:c>
      <x:c r="P33" s="24" t="n">
        <x:v>17.664583333333333</x:v>
      </x:c>
      <x:c r="Q33" s="29" t="n">
        <x:f>P33-O33</x:f>
        <x:v>-3.288541666666667</x:v>
      </x:c>
    </x:row>
    <x:row r="34">
      <x:c r="A34" s="22" t="n">
        <x:v>1978</x:v>
      </x:c>
      <x:c r="B34" s="23" t="n">
        <x:v>28734</x:v>
      </x:c>
      <x:c r="C34" s="23" t="n">
        <x:v>28727</x:v>
      </x:c>
      <x:c r="D34" s="22" t="n">
        <x:v>0</x:v>
      </x:c>
      <x:c r="E34" s="22" t="n">
        <x:v>7</x:v>
      </x:c>
      <x:c r="F34" s="24" t="n">
        <x:v>22.217708333333334</x:v>
      </x:c>
      <x:c r="G34" s="24" t="n">
        <x:v>22.782291666666666</x:v>
      </x:c>
      <x:c r="H34" s="29" t="n">
        <x:f>G34-F34</x:f>
        <x:v>0.5645833333333314</x:v>
      </x:c>
      <x:c r="I34" s="24" t="n">
        <x:v>29.6</x:v>
      </x:c>
      <x:c r="J34" s="24" t="n">
        <x:v>28.9</x:v>
      </x:c>
      <x:c r="K34" s="29" t="n">
        <x:f>J34-I34</x:f>
        <x:v>-0.7000000000000028</x:v>
      </x:c>
      <x:c r="L34" s="24" t="n">
        <x:v>16.4</x:v>
      </x:c>
      <x:c r="M34" s="24" t="n">
        <x:v>17.8</x:v>
      </x:c>
      <x:c r="N34" s="29" t="n">
        <x:f>M34-L34</x:f>
        <x:v>1.4000000000000021</x:v>
      </x:c>
      <x:c r="O34" s="24" t="n">
        <x:v>22.583333333333336</x:v>
      </x:c>
      <x:c r="P34" s="24" t="n">
        <x:v>24.947916666666664</x:v>
      </x:c>
      <x:c r="Q34" s="29" t="n">
        <x:f>P34-O34</x:f>
        <x:v>2.3645833333333286</x:v>
      </x:c>
    </x:row>
    <x:row r="35">
      <x:c r="A35" s="22" t="n">
        <x:v>1979</x:v>
      </x:c>
      <x:c r="B35" s="23" t="n">
        <x:v>29099</x:v>
      </x:c>
      <x:c r="C35" s="23" t="n">
        <x:v>29098</x:v>
      </x:c>
      <x:c r="D35" s="22" t="n">
        <x:v>3</x:v>
      </x:c>
      <x:c r="E35" s="22" t="n">
        <x:v>1</x:v>
      </x:c>
      <x:c r="F35" s="24" t="n">
        <x:v>21.169791666666665</x:v>
      </x:c>
      <x:c r="G35" s="24" t="n">
        <x:v>21.04895833333333</x:v>
      </x:c>
      <x:c r="H35" s="29" t="n">
        <x:f>G35-F35</x:f>
        <x:v>-0.12083333333333357</x:v>
      </x:c>
      <x:c r="I35" s="24" t="n">
        <x:v>27.7</x:v>
      </x:c>
      <x:c r="J35" s="24" t="n">
        <x:v>27.5</x:v>
      </x:c>
      <x:c r="K35" s="29" t="n">
        <x:f>J35-I35</x:f>
        <x:v>-0.1999999999999993</x:v>
      </x:c>
      <x:c r="L35" s="24" t="n">
        <x:v>14.2</x:v>
      </x:c>
      <x:c r="M35" s="24" t="n">
        <x:v>14.2</x:v>
      </x:c>
      <x:c r="N35" s="29" t="n">
        <x:f>M35-L35</x:f>
        <x:v>0</x:v>
      </x:c>
      <x:c r="O35" s="24" t="n">
        <x:v>21.82604166666667</x:v>
      </x:c>
      <x:c r="P35" s="24" t="n">
        <x:v>21.59583333333333</x:v>
      </x:c>
      <x:c r="Q35" s="29" t="n">
        <x:f>P35-O35</x:f>
        <x:v>-0.23020833333333712</x:v>
      </x:c>
    </x:row>
    <x:row r="36">
      <x:c r="A36" s="22" t="n">
        <x:v>1980</x:v>
      </x:c>
      <x:c r="B36" s="23" t="n">
        <x:v>29465</x:v>
      </x:c>
      <x:c r="C36" s="23" t="n">
        <x:v>29462</x:v>
      </x:c>
      <x:c r="D36" s="22" t="n">
        <x:v>1</x:v>
      </x:c>
      <x:c r="E36" s="22" t="n">
        <x:v>3</x:v>
      </x:c>
      <x:c r="F36" s="24" t="n">
        <x:v>22.0125</x:v>
      </x:c>
      <x:c r="G36" s="24" t="n">
        <x:v>23.994791666666668</x:v>
      </x:c>
      <x:c r="H36" s="29" t="n">
        <x:f>G36-F36</x:f>
        <x:v>1.9822916666666686</x:v>
      </x:c>
      <x:c r="I36" s="24" t="n">
        <x:v>27.8</x:v>
      </x:c>
      <x:c r="J36" s="24" t="n">
        <x:v>33.2</x:v>
      </x:c>
      <x:c r="K36" s="29" t="n">
        <x:f>J36-I36</x:f>
        <x:v>5.400000000000002</x:v>
      </x:c>
      <x:c r="L36" s="24" t="n">
        <x:v>16.6</x:v>
      </x:c>
      <x:c r="M36" s="24" t="n">
        <x:v>17</x:v>
      </x:c>
      <x:c r="N36" s="29" t="n">
        <x:f>M36-L36</x:f>
        <x:v>0.3999999999999986</x:v>
      </x:c>
      <x:c r="O36" s="24" t="n">
        <x:v>23.423958333333335</x:v>
      </x:c>
      <x:c r="P36" s="24" t="n">
        <x:v>25.252083333333335</x:v>
      </x:c>
      <x:c r="Q36" s="29" t="n">
        <x:f>P36-O36</x:f>
        <x:v>1.828125</x:v>
      </x:c>
    </x:row>
    <x:row r="37">
      <x:c r="A37" s="22" t="n">
        <x:v>1981</x:v>
      </x:c>
      <x:c r="B37" s="23" t="n">
        <x:v>29830</x:v>
      </x:c>
      <x:c r="C37" s="23" t="n">
        <x:v>29826</x:v>
      </x:c>
      <x:c r="D37" s="22" t="n">
        <x:v>0</x:v>
      </x:c>
      <x:c r="E37" s="22" t="n">
        <x:v>4</x:v>
      </x:c>
      <x:c r="F37" s="24" t="n">
        <x:v>21.84166666666667</x:v>
      </x:c>
      <x:c r="G37" s="24" t="n">
        <x:v>21.419791666666665</x:v>
      </x:c>
      <x:c r="H37" s="29" t="n">
        <x:f>G37-F37</x:f>
        <x:v>-0.42187500000000355</x:v>
      </x:c>
      <x:c r="I37" s="24" t="n">
        <x:v>28.2</x:v>
      </x:c>
      <x:c r="J37" s="24" t="n">
        <x:v>28.3</x:v>
      </x:c>
      <x:c r="K37" s="29" t="n">
        <x:f>J37-I37</x:f>
        <x:v>0.10000000000000142</x:v>
      </x:c>
      <x:c r="L37" s="24" t="n">
        <x:v>16.9</x:v>
      </x:c>
      <x:c r="M37" s="24" t="n">
        <x:v>14.3</x:v>
      </x:c>
      <x:c r="N37" s="29" t="n">
        <x:f>M37-L37</x:f>
        <x:v>-2.599999999999998</x:v>
      </x:c>
      <x:c r="O37" s="24" t="n">
        <x:v>22.98229166666667</x:v>
      </x:c>
      <x:c r="P37" s="24" t="n">
        <x:v>21.491666666666667</x:v>
      </x:c>
      <x:c r="Q37" s="29" t="n">
        <x:f>P37-O37</x:f>
        <x:v>-1.4906250000000014</x:v>
      </x:c>
    </x:row>
    <x:row r="38">
      <x:c r="A38" s="22" t="n">
        <x:v>1982</x:v>
      </x:c>
      <x:c r="B38" s="23" t="n">
        <x:v>30195</x:v>
      </x:c>
      <x:c r="C38" s="23" t="n">
        <x:v>30190</x:v>
      </x:c>
      <x:c r="D38" s="22" t="n">
        <x:v>0</x:v>
      </x:c>
      <x:c r="E38" s="22" t="n">
        <x:v>5</x:v>
      </x:c>
      <x:c r="F38" s="24" t="n">
        <x:v>18.14270833333333</x:v>
      </x:c>
      <x:c r="G38" s="24" t="n">
        <x:v>22.0375</x:v>
      </x:c>
      <x:c r="H38" s="29" t="n">
        <x:f>G38-F38</x:f>
        <x:v>3.89479166666667</x:v>
      </x:c>
      <x:c r="I38" s="24" t="n">
        <x:v>25.9</x:v>
      </x:c>
      <x:c r="J38" s="24" t="n">
        <x:v>29.1</x:v>
      </x:c>
      <x:c r="K38" s="29" t="n">
        <x:f>J38-I38</x:f>
        <x:v>3.200000000000003</x:v>
      </x:c>
      <x:c r="L38" s="24" t="n">
        <x:v>11.8</x:v>
      </x:c>
      <x:c r="M38" s="24" t="n">
        <x:v>16.4</x:v>
      </x:c>
      <x:c r="N38" s="29" t="n">
        <x:f>M38-L38</x:f>
        <x:v>4.599999999999998</x:v>
      </x:c>
      <x:c r="O38" s="24" t="n">
        <x:v>17.626041666666666</x:v>
      </x:c>
      <x:c r="P38" s="24" t="n">
        <x:v>22.977083333333333</x:v>
      </x:c>
      <x:c r="Q38" s="29" t="n">
        <x:f>P38-O38</x:f>
        <x:v>5.351041666666667</x:v>
      </x:c>
    </x:row>
    <x:row r="39">
      <x:c r="A39" s="22" t="n">
        <x:v>1983</x:v>
      </x:c>
      <x:c r="B39" s="23" t="n">
        <x:v>30560</x:v>
      </x:c>
      <x:c r="C39" s="23" t="n">
        <x:v>30554</x:v>
      </x:c>
      <x:c r="D39" s="22" t="n">
        <x:v>0</x:v>
      </x:c>
      <x:c r="E39" s="22" t="n">
        <x:v>6</x:v>
      </x:c>
      <x:c r="F39" s="24" t="n">
        <x:v>21.3125</x:v>
      </x:c>
      <x:c r="G39" s="24" t="n">
        <x:v>19.605208333333334</x:v>
      </x:c>
      <x:c r="H39" s="29" t="n">
        <x:f>G39-F39</x:f>
        <x:v>-1.7072916666666664</x:v>
      </x:c>
      <x:c r="I39" s="24" t="n">
        <x:v>27.6</x:v>
      </x:c>
      <x:c r="J39" s="24" t="n">
        <x:v>25.1</x:v>
      </x:c>
      <x:c r="K39" s="29" t="n">
        <x:f>J39-I39</x:f>
        <x:v>-2.5</x:v>
      </x:c>
      <x:c r="L39" s="24" t="n">
        <x:v>16.4</x:v>
      </x:c>
      <x:c r="M39" s="24" t="n">
        <x:v>15.4</x:v>
      </x:c>
      <x:c r="N39" s="29" t="n">
        <x:f>M39-L39</x:f>
        <x:v>-0.9999999999999982</x:v>
      </x:c>
      <x:c r="O39" s="24" t="n">
        <x:v>21.643749999999997</x:v>
      </x:c>
      <x:c r="P39" s="24" t="n">
        <x:v>20.776041666666668</x:v>
      </x:c>
      <x:c r="Q39" s="29" t="n">
        <x:f>P39-O39</x:f>
        <x:v>-0.8677083333333293</x:v>
      </x:c>
    </x:row>
    <x:row r="40">
      <x:c r="A40" s="22" t="n">
        <x:v>1984</x:v>
      </x:c>
      <x:c r="B40" s="23" t="n">
        <x:v>30926</x:v>
      </x:c>
      <x:c r="C40" s="23" t="n">
        <x:v>30925</x:v>
      </x:c>
      <x:c r="D40" s="22" t="n">
        <x:v>3</x:v>
      </x:c>
      <x:c r="E40" s="22" t="n">
        <x:v>1</x:v>
      </x:c>
      <x:c r="F40" s="24" t="n">
        <x:v>23.703125</x:v>
      </x:c>
      <x:c r="G40" s="24" t="n">
        <x:v>23.023958333333333</x:v>
      </x:c>
      <x:c r="H40" s="29" t="n">
        <x:f>G40-F40</x:f>
        <x:v>-0.6791666666666671</x:v>
      </x:c>
      <x:c r="I40" s="24" t="n">
        <x:v>32.1</x:v>
      </x:c>
      <x:c r="J40" s="24" t="n">
        <x:v>32.1</x:v>
      </x:c>
      <x:c r="K40" s="29" t="n">
        <x:f>J40-I40</x:f>
        <x:v>0</x:v>
      </x:c>
      <x:c r="L40" s="24" t="n">
        <x:v>16.6</x:v>
      </x:c>
      <x:c r="M40" s="24" t="n">
        <x:v>14.8</x:v>
      </x:c>
      <x:c r="N40" s="29" t="n">
        <x:f>M40-L40</x:f>
        <x:v>-1.8000000000000007</x:v>
      </x:c>
      <x:c r="O40" s="24" t="n">
        <x:v>23.26875</x:v>
      </x:c>
      <x:c r="P40" s="24" t="n">
        <x:v>22.73125</x:v>
      </x:c>
      <x:c r="Q40" s="29" t="n">
        <x:f>P40-O40</x:f>
        <x:v>-0.5375000000000014</x:v>
      </x:c>
    </x:row>
    <x:row r="41">
      <x:c r="A41" s="22" t="n">
        <x:v>1985</x:v>
      </x:c>
      <x:c r="B41" s="23" t="n">
        <x:v>31291</x:v>
      </x:c>
      <x:c r="C41" s="23" t="n">
        <x:v>31289</x:v>
      </x:c>
      <x:c r="D41" s="22" t="n">
        <x:v>2</x:v>
      </x:c>
      <x:c r="E41" s="22" t="n">
        <x:v>2</x:v>
      </x:c>
      <x:c r="F41" s="24" t="n">
        <x:v>24.579166666666666</x:v>
      </x:c>
      <x:c r="G41" s="24" t="n">
        <x:v>24.023958333333333</x:v>
      </x:c>
      <x:c r="H41" s="29" t="n">
        <x:f>G41-F41</x:f>
        <x:v>-0.5552083333333329</x:v>
      </x:c>
      <x:c r="I41" s="24" t="n">
        <x:v>34.1</x:v>
      </x:c>
      <x:c r="J41" s="24" t="n">
        <x:v>31.5</x:v>
      </x:c>
      <x:c r="K41" s="29" t="n">
        <x:f>J41-I41</x:f>
        <x:v>-2.6000000000000014</x:v>
      </x:c>
      <x:c r="L41" s="24" t="n">
        <x:v>18.1</x:v>
      </x:c>
      <x:c r="M41" s="24" t="n">
        <x:v>17.5</x:v>
      </x:c>
      <x:c r="N41" s="29" t="n">
        <x:f>M41-L41</x:f>
        <x:v>-0.6000000000000014</x:v>
      </x:c>
      <x:c r="O41" s="24" t="n">
        <x:v>25.383333333333333</x:v>
      </x:c>
      <x:c r="P41" s="24" t="n">
        <x:v>24.59791666666667</x:v>
      </x:c>
      <x:c r="Q41" s="29" t="n">
        <x:f>P41-O41</x:f>
        <x:v>-0.7854166666666629</x:v>
      </x:c>
    </x:row>
    <x:row r="42">
      <x:c r="A42" s="22" t="n">
        <x:v>1986</x:v>
      </x:c>
      <x:c r="B42" s="23" t="n">
        <x:v>31656</x:v>
      </x:c>
      <x:c r="C42" s="23" t="n">
        <x:v>31653</x:v>
      </x:c>
      <x:c r="D42" s="22" t="n">
        <x:v>1</x:v>
      </x:c>
      <x:c r="E42" s="22" t="n">
        <x:v>3</x:v>
      </x:c>
      <x:c r="F42" s="24" t="n">
        <x:v>21.388541666666665</x:v>
      </x:c>
      <x:c r="G42" s="24" t="n">
        <x:v>18.6125</x:v>
      </x:c>
      <x:c r="H42" s="29" t="n">
        <x:f>G42-F42</x:f>
        <x:v>-2.7760416666666643</x:v>
      </x:c>
      <x:c r="I42" s="24" t="n">
        <x:v>29.4</x:v>
      </x:c>
      <x:c r="J42" s="24" t="n">
        <x:v>25.6</x:v>
      </x:c>
      <x:c r="K42" s="29" t="n">
        <x:f>J42-I42</x:f>
        <x:v>-3.799999999999997</x:v>
      </x:c>
      <x:c r="L42" s="24" t="n">
        <x:v>15.5</x:v>
      </x:c>
      <x:c r="M42" s="24" t="n">
        <x:v>14.4</x:v>
      </x:c>
      <x:c r="N42" s="29" t="n">
        <x:f>M42-L42</x:f>
        <x:v>-1.0999999999999996</x:v>
      </x:c>
      <x:c r="O42" s="24" t="n">
        <x:v>21.78125</x:v>
      </x:c>
      <x:c r="P42" s="24" t="n">
        <x:v>18.31458333333333</x:v>
      </x:c>
      <x:c r="Q42" s="29" t="n">
        <x:f>P42-O42</x:f>
        <x:v>-3.4666666666666686</x:v>
      </x:c>
    </x:row>
    <x:row r="43">
      <x:c r="A43" s="22" t="n">
        <x:v>1987</x:v>
      </x:c>
      <x:c r="B43" s="23" t="n">
        <x:v>32021</x:v>
      </x:c>
      <x:c r="C43" s="23" t="n">
        <x:v>32017</x:v>
      </x:c>
      <x:c r="D43" s="22" t="n">
        <x:v>0</x:v>
      </x:c>
      <x:c r="E43" s="22" t="n">
        <x:v>4</x:v>
      </x:c>
      <x:c r="F43" s="24" t="n">
        <x:v>22.378124999999997</x:v>
      </x:c>
      <x:c r="G43" s="24" t="n">
        <x:v>20.823958333333334</x:v>
      </x:c>
      <x:c r="H43" s="29" t="n">
        <x:f>G43-F43</x:f>
        <x:v>-1.5541666666666636</x:v>
      </x:c>
      <x:c r="I43" s="24" t="n">
        <x:v>27.8</x:v>
      </x:c>
      <x:c r="J43" s="24" t="n">
        <x:v>27.8</x:v>
      </x:c>
      <x:c r="K43" s="29" t="n">
        <x:f>J43-I43</x:f>
        <x:v>0</x:v>
      </x:c>
      <x:c r="L43" s="24" t="n">
        <x:v>18</x:v>
      </x:c>
      <x:c r="M43" s="24" t="n">
        <x:v>17.4</x:v>
      </x:c>
      <x:c r="N43" s="29" t="n">
        <x:f>M43-L43</x:f>
        <x:v>-0.6000000000000014</x:v>
      </x:c>
      <x:c r="O43" s="24" t="n">
        <x:v>24.132291666666667</x:v>
      </x:c>
      <x:c r="P43" s="24" t="n">
        <x:v>21.351041666666667</x:v>
      </x:c>
      <x:c r="Q43" s="29" t="n">
        <x:f>P43-O43</x:f>
        <x:v>-2.78125</x:v>
      </x:c>
    </x:row>
    <x:row r="44">
      <x:c r="A44" s="22" t="n">
        <x:v>1988</x:v>
      </x:c>
      <x:c r="B44" s="23" t="n">
        <x:v>32387</x:v>
      </x:c>
      <x:c r="C44" s="23" t="n">
        <x:v>32381</x:v>
      </x:c>
      <x:c r="D44" s="22" t="n">
        <x:v>0</x:v>
      </x:c>
      <x:c r="E44" s="22" t="n">
        <x:v>6</x:v>
      </x:c>
      <x:c r="F44" s="24" t="n">
        <x:v>23.5</x:v>
      </x:c>
      <x:c r="G44" s="24" t="n">
        <x:v>25.123958333333334</x:v>
      </x:c>
      <x:c r="H44" s="29" t="n">
        <x:f>G44-F44</x:f>
        <x:v>1.6239583333333343</x:v>
      </x:c>
      <x:c r="I44" s="24" t="n">
        <x:v>31.3</x:v>
      </x:c>
      <x:c r="J44" s="24" t="n">
        <x:v>35.5</x:v>
      </x:c>
      <x:c r="K44" s="29" t="n">
        <x:f>J44-I44</x:f>
        <x:v>4.199999999999999</x:v>
      </x:c>
      <x:c r="L44" s="24" t="n">
        <x:v>16.5</x:v>
      </x:c>
      <x:c r="M44" s="24" t="n">
        <x:v>19.1</x:v>
      </x:c>
      <x:c r="N44" s="29" t="n">
        <x:f>M44-L44</x:f>
        <x:v>2.6000000000000014</x:v>
      </x:c>
      <x:c r="O44" s="24" t="n">
        <x:v>23.34375</x:v>
      </x:c>
      <x:c r="P44" s="24" t="n">
        <x:v>26.37291666666667</x:v>
      </x:c>
      <x:c r="Q44" s="29" t="n">
        <x:f>P44-O44</x:f>
        <x:v>3.0291666666666686</x:v>
      </x:c>
    </x:row>
    <x:row r="45">
      <x:c r="A45" s="22" t="n">
        <x:v>1989</x:v>
      </x:c>
      <x:c r="B45" s="23" t="n">
        <x:v>32752</x:v>
      </x:c>
      <x:c r="C45" s="23" t="n">
        <x:v>32745</x:v>
      </x:c>
      <x:c r="D45" s="22" t="n">
        <x:v>0</x:v>
      </x:c>
      <x:c r="E45" s="22" t="n">
        <x:v>7</x:v>
      </x:c>
      <x:c r="F45" s="24" t="n">
        <x:v>19.302083333333332</x:v>
      </x:c>
      <x:c r="G45" s="24" t="n">
        <x:v>24.880208333333336</x:v>
      </x:c>
      <x:c r="H45" s="29" t="n">
        <x:f>G45-F45</x:f>
        <x:v>5.5781250000000036</x:v>
      </x:c>
      <x:c r="I45" s="24" t="n">
        <x:v>24.2</x:v>
      </x:c>
      <x:c r="J45" s="24" t="n">
        <x:v>33.6</x:v>
      </x:c>
      <x:c r="K45" s="29" t="n">
        <x:f>J45-I45</x:f>
        <x:v>9.400000000000002</x:v>
      </x:c>
      <x:c r="L45" s="24" t="n">
        <x:v>15.2</x:v>
      </x:c>
      <x:c r="M45" s="24" t="n">
        <x:v>18.9</x:v>
      </x:c>
      <x:c r="N45" s="29" t="n">
        <x:f>M45-L45</x:f>
        <x:v>3.6999999999999993</x:v>
      </x:c>
      <x:c r="O45" s="24" t="n">
        <x:v>20.261458333333334</x:v>
      </x:c>
      <x:c r="P45" s="24" t="n">
        <x:v>26.229166666666664</x:v>
      </x:c>
      <x:c r="Q45" s="29" t="n">
        <x:f>P45-O45</x:f>
        <x:v>5.967708333333331</x:v>
      </x:c>
    </x:row>
    <x:row r="46">
      <x:c r="A46" s="22" t="n">
        <x:v>1990</x:v>
      </x:c>
      <x:c r="B46" s="23" t="n">
        <x:v>33117</x:v>
      </x:c>
      <x:c r="C46" s="23" t="n">
        <x:v>33116</x:v>
      </x:c>
      <x:c r="D46" s="22" t="n">
        <x:v>3</x:v>
      </x:c>
      <x:c r="E46" s="22" t="n">
        <x:v>1</x:v>
      </x:c>
      <x:c r="F46" s="24" t="n">
        <x:v>21.753124999999997</x:v>
      </x:c>
      <x:c r="G46" s="24" t="n">
        <x:v>21.15833333333333</x:v>
      </x:c>
      <x:c r="H46" s="29" t="n">
        <x:f>G46-F46</x:f>
        <x:v>-0.5947916666666657</x:v>
      </x:c>
      <x:c r="I46" s="24" t="n">
        <x:v>28.7</x:v>
      </x:c>
      <x:c r="J46" s="24" t="n">
        <x:v>27.2</x:v>
      </x:c>
      <x:c r="K46" s="29" t="n">
        <x:f>J46-I46</x:f>
        <x:v>-1.5</x:v>
      </x:c>
      <x:c r="L46" s="24" t="n">
        <x:v>16.4</x:v>
      </x:c>
      <x:c r="M46" s="24" t="n">
        <x:v>16.4</x:v>
      </x:c>
      <x:c r="N46" s="29" t="n">
        <x:f>M46-L46</x:f>
        <x:v>0</x:v>
      </x:c>
      <x:c r="O46" s="24" t="n">
        <x:v>23.164583333333333</x:v>
      </x:c>
      <x:c r="P46" s="24" t="n">
        <x:v>22.267708333333335</x:v>
      </x:c>
      <x:c r="Q46" s="29" t="n">
        <x:f>P46-O46</x:f>
        <x:v>-0.8968749999999979</x:v>
      </x:c>
    </x:row>
    <x:row r="47">
      <x:c r="A47" s="22" t="n">
        <x:v>1991</x:v>
      </x:c>
      <x:c r="B47" s="23" t="n">
        <x:v>33482</x:v>
      </x:c>
      <x:c r="C47" s="23" t="n">
        <x:v>33480</x:v>
      </x:c>
      <x:c r="D47" s="22" t="n">
        <x:v>2</x:v>
      </x:c>
      <x:c r="E47" s="22" t="n">
        <x:v>2</x:v>
      </x:c>
      <x:c r="F47" s="24" t="n">
        <x:v>23.278125</x:v>
      </x:c>
      <x:c r="G47" s="24" t="n">
        <x:v>25.35729166666667</x:v>
      </x:c>
      <x:c r="H47" s="29" t="n">
        <x:f>G47-F47</x:f>
        <x:v>2.0791666666666693</x:v>
      </x:c>
      <x:c r="I47" s="24" t="n">
        <x:v>30.5</x:v>
      </x:c>
      <x:c r="J47" s="24" t="n">
        <x:v>33.6</x:v>
      </x:c>
      <x:c r="K47" s="29" t="n">
        <x:f>J47-I47</x:f>
        <x:v>3.1000000000000014</x:v>
      </x:c>
      <x:c r="L47" s="24" t="n">
        <x:v>19.4</x:v>
      </x:c>
      <x:c r="M47" s="24" t="n">
        <x:v>19.5</x:v>
      </x:c>
      <x:c r="N47" s="29" t="n">
        <x:f>M47-L47</x:f>
        <x:v>0.10000000000000142</x:v>
      </x:c>
      <x:c r="O47" s="24" t="n">
        <x:v>24.329166666666666</x:v>
      </x:c>
      <x:c r="P47" s="24" t="n">
        <x:v>26.351041666666667</x:v>
      </x:c>
      <x:c r="Q47" s="29" t="n">
        <x:f>P47-O47</x:f>
        <x:v>2.0218750000000014</x:v>
      </x:c>
    </x:row>
    <x:row r="48">
      <x:c r="A48" s="22" t="n">
        <x:v>1992</x:v>
      </x:c>
      <x:c r="B48" s="23" t="n">
        <x:v>33848</x:v>
      </x:c>
      <x:c r="C48" s="23" t="n">
        <x:v>33844</x:v>
      </x:c>
      <x:c r="D48" s="22" t="n">
        <x:v>0</x:v>
      </x:c>
      <x:c r="E48" s="22" t="n">
        <x:v>4</x:v>
      </x:c>
      <x:c r="F48" s="24" t="n">
        <x:v>21.139583333333334</x:v>
      </x:c>
      <x:c r="G48" s="24" t="n">
        <x:v>22.821875</x:v>
      </x:c>
      <x:c r="H48" s="29" t="n">
        <x:f>G48-F48</x:f>
        <x:v>1.6822916666666643</x:v>
      </x:c>
      <x:c r="I48" s="24" t="n">
        <x:v>29.5</x:v>
      </x:c>
      <x:c r="J48" s="24" t="n">
        <x:v>32.9</x:v>
      </x:c>
      <x:c r="K48" s="29" t="n">
        <x:f>J48-I48</x:f>
        <x:v>3.3999999999999986</x:v>
      </x:c>
      <x:c r="L48" s="24" t="n">
        <x:v>15</x:v>
      </x:c>
      <x:c r="M48" s="24" t="n">
        <x:v>14.1</x:v>
      </x:c>
      <x:c r="N48" s="29" t="n">
        <x:f>M48-L48</x:f>
        <x:v>-0.9000000000000004</x:v>
      </x:c>
      <x:c r="O48" s="24" t="n">
        <x:v>21.304166666666667</x:v>
      </x:c>
      <x:c r="P48" s="24" t="n">
        <x:v>20.695833333333333</x:v>
      </x:c>
      <x:c r="Q48" s="29" t="n">
        <x:f>P48-O48</x:f>
        <x:v>-0.6083333333333343</x:v>
      </x:c>
    </x:row>
    <x:row r="49">
      <x:c r="A49" s="22" t="n">
        <x:v>1993</x:v>
      </x:c>
      <x:c r="B49" s="23" t="n">
        <x:v>34213</x:v>
      </x:c>
      <x:c r="C49" s="23" t="n">
        <x:v>34208</x:v>
      </x:c>
      <x:c r="D49" s="22" t="n">
        <x:v>0</x:v>
      </x:c>
      <x:c r="E49" s="22" t="n">
        <x:v>5</x:v>
      </x:c>
      <x:c r="F49" s="24" t="n">
        <x:v>22.209375</x:v>
      </x:c>
      <x:c r="G49" s="24" t="n">
        <x:v>18.866666666666667</x:v>
      </x:c>
      <x:c r="H49" s="29" t="n">
        <x:f>G49-F49</x:f>
        <x:v>-3.3427083333333343</x:v>
      </x:c>
      <x:c r="I49" s="24" t="n">
        <x:v>30.8</x:v>
      </x:c>
      <x:c r="J49" s="24" t="n">
        <x:v>25</x:v>
      </x:c>
      <x:c r="K49" s="29" t="n">
        <x:f>J49-I49</x:f>
        <x:v>-5.800000000000001</x:v>
      </x:c>
      <x:c r="L49" s="24" t="n">
        <x:v>14.7</x:v>
      </x:c>
      <x:c r="M49" s="24" t="n">
        <x:v>14</x:v>
      </x:c>
      <x:c r="N49" s="29" t="n">
        <x:f>M49-L49</x:f>
        <x:v>-0.6999999999999993</x:v>
      </x:c>
      <x:c r="O49" s="24" t="n">
        <x:v>22.265625</x:v>
      </x:c>
      <x:c r="P49" s="24" t="n">
        <x:v>17.418750000000003</x:v>
      </x:c>
      <x:c r="Q49" s="29" t="n">
        <x:f>P49-O49</x:f>
        <x:v>-4.846874999999997</x:v>
      </x:c>
    </x:row>
    <x:row r="50">
      <x:c r="A50" s="22" t="n">
        <x:v>1994</x:v>
      </x:c>
      <x:c r="B50" s="23" t="n">
        <x:v>34578</x:v>
      </x:c>
      <x:c r="C50" s="23" t="n">
        <x:v>34572</x:v>
      </x:c>
      <x:c r="D50" s="22" t="n">
        <x:v>0</x:v>
      </x:c>
      <x:c r="E50" s="22" t="n">
        <x:v>6</x:v>
      </x:c>
      <x:c r="F50" s="24" t="n">
        <x:v>22.716666666666665</x:v>
      </x:c>
      <x:c r="G50" s="24" t="n">
        <x:v>25.92291666666667</x:v>
      </x:c>
      <x:c r="H50" s="29" t="n">
        <x:f>G50-F50</x:f>
        <x:v>3.2062500000000043</x:v>
      </x:c>
      <x:c r="I50" s="24" t="n">
        <x:v>28.5</x:v>
      </x:c>
      <x:c r="J50" s="24" t="n">
        <x:v>34.6</x:v>
      </x:c>
      <x:c r="K50" s="29" t="n">
        <x:f>J50-I50</x:f>
        <x:v>6.100000000000001</x:v>
      </x:c>
      <x:c r="L50" s="24" t="n">
        <x:v>17.1</x:v>
      </x:c>
      <x:c r="M50" s="24" t="n">
        <x:v>19.4</x:v>
      </x:c>
      <x:c r="N50" s="29" t="n">
        <x:f>M50-L50</x:f>
        <x:v>2.299999999999997</x:v>
      </x:c>
      <x:c r="O50" s="24" t="n">
        <x:v>23.5875</x:v>
      </x:c>
      <x:c r="P50" s="24" t="n">
        <x:v>26.54895833333333</x:v>
      </x:c>
      <x:c r="Q50" s="29" t="n">
        <x:f>P50-O50</x:f>
        <x:v>2.961458333333333</x:v>
      </x:c>
    </x:row>
    <x:row r="51">
      <x:c r="A51" s="22" t="n">
        <x:v>1995</x:v>
      </x:c>
      <x:c r="B51" s="23" t="n">
        <x:v>34943</x:v>
      </x:c>
      <x:c r="C51" s="23" t="n">
        <x:v>34936</x:v>
      </x:c>
      <x:c r="D51" s="22" t="n">
        <x:v>0</x:v>
      </x:c>
      <x:c r="E51" s="22" t="n">
        <x:v>7</x:v>
      </x:c>
      <x:c r="F51" s="24" t="n">
        <x:v>22.964583333333334</x:v>
      </x:c>
      <x:c r="G51" s="24" t="n">
        <x:v>21.985416666666666</x:v>
      </x:c>
      <x:c r="H51" s="29" t="n">
        <x:f>G51-F51</x:f>
        <x:v>-0.9791666666666679</x:v>
      </x:c>
      <x:c r="I51" s="24" t="n">
        <x:v>30</x:v>
      </x:c>
      <x:c r="J51" s="24" t="n">
        <x:v>31.1</x:v>
      </x:c>
      <x:c r="K51" s="29" t="n">
        <x:f>J51-I51</x:f>
        <x:v>1.1000000000000014</x:v>
      </x:c>
      <x:c r="L51" s="24" t="n">
        <x:v>16.4</x:v>
      </x:c>
      <x:c r="M51" s="24" t="n">
        <x:v>15.5</x:v>
      </x:c>
      <x:c r="N51" s="29" t="n">
        <x:f>M51-L51</x:f>
        <x:v>-0.8999999999999986</x:v>
      </x:c>
      <x:c r="O51" s="24" t="n">
        <x:v>22.967708333333334</x:v>
      </x:c>
      <x:c r="P51" s="24" t="n">
        <x:v>22.869791666666668</x:v>
      </x:c>
      <x:c r="Q51" s="29" t="n">
        <x:f>P51-O51</x:f>
        <x:v>-0.09791666666666643</x:v>
      </x:c>
    </x:row>
    <x:row r="52">
      <x:c r="A52" s="22" t="n">
        <x:v>1996</x:v>
      </x:c>
      <x:c r="B52" s="23" t="n">
        <x:v>35309</x:v>
      </x:c>
      <x:c r="C52" s="23" t="n">
        <x:v>35307</x:v>
      </x:c>
      <x:c r="D52" s="22" t="n">
        <x:v>2</x:v>
      </x:c>
      <x:c r="E52" s="22" t="n">
        <x:v>2</x:v>
      </x:c>
      <x:c r="F52" s="24" t="n">
        <x:v>17.565625</x:v>
      </x:c>
      <x:c r="G52" s="24" t="n">
        <x:v>17.710416666666667</x:v>
      </x:c>
      <x:c r="H52" s="29" t="n">
        <x:f>G52-F52</x:f>
        <x:v>0.14479166666666643</x:v>
      </x:c>
      <x:c r="I52" s="24" t="n">
        <x:v>23.9</x:v>
      </x:c>
      <x:c r="J52" s="24" t="n">
        <x:v>23.9</x:v>
      </x:c>
      <x:c r="K52" s="29" t="n">
        <x:f>J52-I52</x:f>
        <x:v>0</x:v>
      </x:c>
      <x:c r="L52" s="24" t="n">
        <x:v>13.8</x:v>
      </x:c>
      <x:c r="M52" s="24" t="n">
        <x:v>12.1</x:v>
      </x:c>
      <x:c r="N52" s="29" t="n">
        <x:f>M52-L52</x:f>
        <x:v>-1.700000000000001</x:v>
      </x:c>
      <x:c r="O52" s="24" t="n">
        <x:v>17.275</x:v>
      </x:c>
      <x:c r="P52" s="24" t="n">
        <x:v>16.965625</x:v>
      </x:c>
      <x:c r="Q52" s="29" t="n">
        <x:f>P52-O52</x:f>
        <x:v>-0.3093749999999993</x:v>
      </x:c>
    </x:row>
    <x:row r="53">
      <x:c r="A53" s="22" t="n">
        <x:v>1997</x:v>
      </x:c>
      <x:c r="B53" s="23" t="n">
        <x:v>35674</x:v>
      </x:c>
      <x:c r="C53" s="23" t="n">
        <x:v>35671</x:v>
      </x:c>
      <x:c r="D53" s="22" t="n">
        <x:v>1</x:v>
      </x:c>
      <x:c r="E53" s="22" t="n">
        <x:v>3</x:v>
      </x:c>
      <x:c r="F53" s="24" t="n">
        <x:v>21.672916666666666</x:v>
      </x:c>
      <x:c r="G53" s="24" t="n">
        <x:v>21.303125</x:v>
      </x:c>
      <x:c r="H53" s="29" t="n">
        <x:f>G53-F53</x:f>
        <x:v>-0.3697916666666643</x:v>
      </x:c>
      <x:c r="I53" s="24" t="n">
        <x:v>28.3</x:v>
      </x:c>
      <x:c r="J53" s="24" t="n">
        <x:v>30.7</x:v>
      </x:c>
      <x:c r="K53" s="29" t="n">
        <x:f>J53-I53</x:f>
        <x:v>2.3999999999999986</x:v>
      </x:c>
      <x:c r="L53" s="24" t="n">
        <x:v>15.4</x:v>
      </x:c>
      <x:c r="M53" s="24" t="n">
        <x:v>13.6</x:v>
      </x:c>
      <x:c r="N53" s="29" t="n">
        <x:f>M53-L53</x:f>
        <x:v>-1.8000000000000007</x:v>
      </x:c>
      <x:c r="O53" s="24" t="n">
        <x:v>22.566666666666666</x:v>
      </x:c>
      <x:c r="P53" s="24" t="n">
        <x:v>20.586458333333333</x:v>
      </x:c>
      <x:c r="Q53" s="29" t="n">
        <x:f>P53-O53</x:f>
        <x:v>-1.9802083333333336</x:v>
      </x:c>
    </x:row>
    <x:row r="54">
      <x:c r="A54" s="22" t="n">
        <x:v>1998</x:v>
      </x:c>
      <x:c r="B54" s="23" t="n">
        <x:v>36039</x:v>
      </x:c>
      <x:c r="C54" s="23" t="n">
        <x:v>36035</x:v>
      </x:c>
      <x:c r="D54" s="22" t="n">
        <x:v>0</x:v>
      </x:c>
      <x:c r="E54" s="22" t="n">
        <x:v>4</x:v>
      </x:c>
      <x:c r="F54" s="24" t="n">
        <x:v>25.26770833333333</x:v>
      </x:c>
      <x:c r="G54" s="24" t="n">
        <x:v>22.9625</x:v>
      </x:c>
      <x:c r="H54" s="29" t="n">
        <x:f>G54-F54</x:f>
        <x:v>-2.305208333333333</x:v>
      </x:c>
      <x:c r="I54" s="24" t="n">
        <x:v>32.9</x:v>
      </x:c>
      <x:c r="J54" s="24" t="n">
        <x:v>29.3</x:v>
      </x:c>
      <x:c r="K54" s="29" t="n">
        <x:f>J54-I54</x:f>
        <x:v>-3.599999999999998</x:v>
      </x:c>
      <x:c r="L54" s="24" t="n">
        <x:v>18.6</x:v>
      </x:c>
      <x:c r="M54" s="24" t="n">
        <x:v>18.1</x:v>
      </x:c>
      <x:c r="N54" s="29" t="n">
        <x:f>M54-L54</x:f>
        <x:v>-0.5</x:v>
      </x:c>
      <x:c r="O54" s="24" t="n">
        <x:v>26.446875</x:v>
      </x:c>
      <x:c r="P54" s="24" t="n">
        <x:v>24.405208333333334</x:v>
      </x:c>
      <x:c r="Q54" s="29" t="n">
        <x:f>P54-O54</x:f>
        <x:v>-2.0416666666666643</x:v>
      </x:c>
    </x:row>
    <x:row r="55">
      <x:c r="A55" s="22" t="n">
        <x:v>1999</x:v>
      </x:c>
      <x:c r="B55" s="23" t="n">
        <x:v>36404</x:v>
      </x:c>
      <x:c r="C55" s="23" t="n">
        <x:v>36399</x:v>
      </x:c>
      <x:c r="D55" s="22" t="n">
        <x:v>0</x:v>
      </x:c>
      <x:c r="E55" s="22" t="n">
        <x:v>5</x:v>
      </x:c>
      <x:c r="F55" s="24" t="n">
        <x:v>24.186458333333334</x:v>
      </x:c>
      <x:c r="G55" s="24" t="n">
        <x:v>25.44375</x:v>
      </x:c>
      <x:c r="H55" s="29" t="n">
        <x:f>G55-F55</x:f>
        <x:v>1.2572916666666671</x:v>
      </x:c>
      <x:c r="I55" s="24" t="n">
        <x:v>32.6</x:v>
      </x:c>
      <x:c r="J55" s="24" t="n">
        <x:v>34</x:v>
      </x:c>
      <x:c r="K55" s="29" t="n">
        <x:f>J55-I55</x:f>
        <x:v>1.3999999999999986</x:v>
      </x:c>
      <x:c r="L55" s="24" t="n">
        <x:v>19.4</x:v>
      </x:c>
      <x:c r="M55" s="24" t="n">
        <x:v>19.3</x:v>
      </x:c>
      <x:c r="N55" s="29" t="n">
        <x:f>M55-L55</x:f>
        <x:v>-0.09999999999999787</x:v>
      </x:c>
      <x:c r="O55" s="24" t="n">
        <x:v>24.98645833333333</x:v>
      </x:c>
      <x:c r="P55" s="24" t="n">
        <x:v>26.901041666666668</x:v>
      </x:c>
      <x:c r="Q55" s="29" t="n">
        <x:f>P55-O55</x:f>
        <x:v>1.9145833333333364</x:v>
      </x:c>
    </x:row>
    <x:row r="56">
      <x:c r="A56" s="22" t="n">
        <x:v>2000</x:v>
      </x:c>
      <x:c r="B56" s="23" t="n">
        <x:v>36770</x:v>
      </x:c>
      <x:c r="C56" s="23" t="n">
        <x:v>36763</x:v>
      </x:c>
      <x:c r="D56" s="22" t="n">
        <x:v>0</x:v>
      </x:c>
      <x:c r="E56" s="22" t="n">
        <x:v>7</x:v>
      </x:c>
      <x:c r="F56" s="24" t="n">
        <x:v>22.592708333333334</x:v>
      </x:c>
      <x:c r="G56" s="24" t="n">
        <x:v>24.681250000000002</x:v>
      </x:c>
      <x:c r="H56" s="29" t="n">
        <x:f>G56-F56</x:f>
        <x:v>2.088541666666668</x:v>
      </x:c>
      <x:c r="I56" s="24" t="n">
        <x:v>30</x:v>
      </x:c>
      <x:c r="J56" s="24" t="n">
        <x:v>32.9</x:v>
      </x:c>
      <x:c r="K56" s="29" t="n">
        <x:f>J56-I56</x:f>
        <x:v>2.8999999999999986</x:v>
      </x:c>
      <x:c r="L56" s="24" t="n">
        <x:v>13.4</x:v>
      </x:c>
      <x:c r="M56" s="24" t="n">
        <x:v>17.3</x:v>
      </x:c>
      <x:c r="N56" s="29" t="n">
        <x:f>M56-L56</x:f>
        <x:v>3.9000000000000004</x:v>
      </x:c>
      <x:c r="O56" s="24" t="n">
        <x:v>24.3</x:v>
      </x:c>
      <x:c r="P56" s="24" t="n">
        <x:v>24.5375</x:v>
      </x:c>
      <x:c r="Q56" s="29" t="n">
        <x:f>P56-O56</x:f>
        <x:v>0.2375000000000007</x:v>
      </x:c>
    </x:row>
    <x:row r="57">
      <x:c r="A57" s="22" t="n">
        <x:v>2001</x:v>
      </x:c>
      <x:c r="B57" s="23" t="n">
        <x:v>37135</x:v>
      </x:c>
      <x:c r="C57" s="23" t="n">
        <x:v>37134</x:v>
      </x:c>
      <x:c r="D57" s="22" t="n">
        <x:v>3</x:v>
      </x:c>
      <x:c r="E57" s="22" t="n">
        <x:v>1</x:v>
      </x:c>
      <x:c r="F57" s="24" t="n">
        <x:v>21.646875</x:v>
      </x:c>
      <x:c r="G57" s="24" t="n">
        <x:v>21.447916666666668</x:v>
      </x:c>
      <x:c r="H57" s="29" t="n">
        <x:f>G57-F57</x:f>
        <x:v>-0.19895833333333357</x:v>
      </x:c>
      <x:c r="I57" s="24" t="n">
        <x:v>30.7</x:v>
      </x:c>
      <x:c r="J57" s="24" t="n">
        <x:v>26.9</x:v>
      </x:c>
      <x:c r="K57" s="29" t="n">
        <x:f>J57-I57</x:f>
        <x:v>-3.8000000000000007</x:v>
      </x:c>
      <x:c r="L57" s="24" t="n">
        <x:v>16.1</x:v>
      </x:c>
      <x:c r="M57" s="24" t="n">
        <x:v>16.1</x:v>
      </x:c>
      <x:c r="N57" s="29" t="n">
        <x:f>M57-L57</x:f>
        <x:v>0</x:v>
      </x:c>
      <x:c r="O57" s="24" t="n">
        <x:v>22.515625</x:v>
      </x:c>
      <x:c r="P57" s="24" t="n">
        <x:v>22.292708333333334</x:v>
      </x:c>
      <x:c r="Q57" s="29" t="n">
        <x:f>P57-O57</x:f>
        <x:v>-0.22291666666666643</x:v>
      </x:c>
    </x:row>
    <x:row r="58">
      <x:c r="A58" s="22" t="n">
        <x:v>2002</x:v>
      </x:c>
      <x:c r="B58" s="23" t="n">
        <x:v>37500</x:v>
      </x:c>
      <x:c r="C58" s="23" t="n">
        <x:v>37498</x:v>
      </x:c>
      <x:c r="D58" s="22" t="n">
        <x:v>2</x:v>
      </x:c>
      <x:c r="E58" s="22" t="n">
        <x:v>2</x:v>
      </x:c>
      <x:c r="F58" s="24" t="n">
        <x:v>21.72083333333333</x:v>
      </x:c>
      <x:c r="G58" s="24" t="n">
        <x:v>21.291666666666668</x:v>
      </x:c>
      <x:c r="H58" s="29" t="n">
        <x:f>G58-F58</x:f>
        <x:v>-0.4291666666666636</x:v>
      </x:c>
      <x:c r="I58" s="24" t="n">
        <x:v>28.5</x:v>
      </x:c>
      <x:c r="J58" s="24" t="n">
        <x:v>28.3</x:v>
      </x:c>
      <x:c r="K58" s="29" t="n">
        <x:f>J58-I58</x:f>
        <x:v>-0.1999999999999993</x:v>
      </x:c>
      <x:c r="L58" s="24" t="n">
        <x:v>15.8</x:v>
      </x:c>
      <x:c r="M58" s="24" t="n">
        <x:v>15.7</x:v>
      </x:c>
      <x:c r="N58" s="29" t="n">
        <x:f>M58-L58</x:f>
        <x:v>-0.10000000000000142</x:v>
      </x:c>
      <x:c r="O58" s="24" t="n">
        <x:v>22.258333333333333</x:v>
      </x:c>
      <x:c r="P58" s="24" t="n">
        <x:v>22.16979166666667</x:v>
      </x:c>
      <x:c r="Q58" s="29" t="n">
        <x:f>P58-O58</x:f>
        <x:v>-0.0885416666666643</x:v>
      </x:c>
    </x:row>
    <x:row r="59">
      <x:c r="A59" s="22" t="n">
        <x:v>2003</x:v>
      </x:c>
      <x:c r="B59" s="23" t="n">
        <x:v>37865</x:v>
      </x:c>
      <x:c r="C59" s="23" t="n">
        <x:v>37862</x:v>
      </x:c>
      <x:c r="D59" s="22" t="n">
        <x:v>1</x:v>
      </x:c>
      <x:c r="E59" s="22" t="n">
        <x:v>3</x:v>
      </x:c>
      <x:c r="F59" s="24" t="n">
        <x:v>21.919791666666665</x:v>
      </x:c>
      <x:c r="G59" s="24" t="n">
        <x:v>24.339583333333334</x:v>
      </x:c>
      <x:c r="H59" s="29" t="n">
        <x:f>G59-F59</x:f>
        <x:v>2.4197916666666686</x:v>
      </x:c>
      <x:c r="I59" s="24" t="n">
        <x:v>30.9</x:v>
      </x:c>
      <x:c r="J59" s="24" t="n">
        <x:v>31.8</x:v>
      </x:c>
      <x:c r="K59" s="29" t="n">
        <x:f>J59-I59</x:f>
        <x:v>0.9000000000000021</x:v>
      </x:c>
      <x:c r="L59" s="24" t="n">
        <x:v>17.4</x:v>
      </x:c>
      <x:c r="M59" s="24" t="n">
        <x:v>17.7</x:v>
      </x:c>
      <x:c r="N59" s="29" t="n">
        <x:f>M59-L59</x:f>
        <x:v>0.3000000000000007</x:v>
      </x:c>
      <x:c r="O59" s="24" t="n">
        <x:v>23.266666666666666</x:v>
      </x:c>
      <x:c r="P59" s="24" t="n">
        <x:v>23.96458333333333</x:v>
      </x:c>
      <x:c r="Q59" s="29" t="n">
        <x:f>P59-O59</x:f>
        <x:v>0.6979166666666643</x:v>
      </x:c>
    </x:row>
    <x:row r="60">
      <x:c r="A60" s="22" t="n">
        <x:v>2004</x:v>
      </x:c>
      <x:c r="B60" s="23" t="n">
        <x:v>38231</x:v>
      </x:c>
      <x:c r="C60" s="23" t="n">
        <x:v>38226</x:v>
      </x:c>
      <x:c r="D60" s="22" t="n">
        <x:v>0</x:v>
      </x:c>
      <x:c r="E60" s="22" t="n">
        <x:v>5</x:v>
      </x:c>
      <x:c r="F60" s="24" t="n">
        <x:v>21.711458333333333</x:v>
      </x:c>
      <x:c r="G60" s="24" t="n">
        <x:v>22.496875</x:v>
      </x:c>
      <x:c r="H60" s="29" t="n">
        <x:f>G60-F60</x:f>
        <x:v>0.7854166666666664</x:v>
      </x:c>
      <x:c r="I60" s="24" t="n">
        <x:v>27.6</x:v>
      </x:c>
      <x:c r="J60" s="24" t="n">
        <x:v>28.4</x:v>
      </x:c>
      <x:c r="K60" s="29" t="n">
        <x:f>J60-I60</x:f>
        <x:v>0.7999999999999972</x:v>
      </x:c>
      <x:c r="L60" s="24" t="n">
        <x:v>16.9</x:v>
      </x:c>
      <x:c r="M60" s="24" t="n">
        <x:v>18.4</x:v>
      </x:c>
      <x:c r="N60" s="29" t="n">
        <x:f>M60-L60</x:f>
        <x:v>1.5</x:v>
      </x:c>
      <x:c r="O60" s="24" t="n">
        <x:v>22.915625</x:v>
      </x:c>
      <x:c r="P60" s="24" t="n">
        <x:v>24.452083333333334</x:v>
      </x:c>
      <x:c r="Q60" s="29" t="n">
        <x:f>P60-O60</x:f>
        <x:v>1.5364583333333357</x:v>
      </x:c>
    </x:row>
    <x:row r="61">
      <x:c r="A61" s="22" t="n">
        <x:v>2005</x:v>
      </x:c>
      <x:c r="B61" s="23" t="n">
        <x:v>38596</x:v>
      </x:c>
      <x:c r="C61" s="23" t="n">
        <x:v>38590</x:v>
      </x:c>
      <x:c r="D61" s="22" t="n">
        <x:v>0</x:v>
      </x:c>
      <x:c r="E61" s="22" t="n">
        <x:v>6</x:v>
      </x:c>
      <x:c r="F61" s="24" t="n">
        <x:v>23.361458333333335</x:v>
      </x:c>
      <x:c r="G61" s="24" t="n">
        <x:v>23.546875</x:v>
      </x:c>
      <x:c r="H61" s="29" t="n">
        <x:f>G61-F61</x:f>
        <x:v>0.185416666666665</x:v>
      </x:c>
      <x:c r="I61" s="24" t="n">
        <x:v>32</x:v>
      </x:c>
      <x:c r="J61" s="24" t="n">
        <x:v>32.2</x:v>
      </x:c>
      <x:c r="K61" s="29" t="n">
        <x:f>J61-I61</x:f>
        <x:v>0.20000000000000284</x:v>
      </x:c>
      <x:c r="L61" s="24" t="n">
        <x:v>17</x:v>
      </x:c>
      <x:c r="M61" s="24" t="n">
        <x:v>18.4</x:v>
      </x:c>
      <x:c r="N61" s="29" t="n">
        <x:f>M61-L61</x:f>
        <x:v>1.3999999999999986</x:v>
      </x:c>
      <x:c r="O61" s="24" t="n">
        <x:v>23.998958333333334</x:v>
      </x:c>
      <x:c r="P61" s="24" t="n">
        <x:v>24.869791666666668</x:v>
      </x:c>
      <x:c r="Q61" s="29" t="n">
        <x:f>P61-O61</x:f>
        <x:v>0.8708333333333336</x:v>
      </x:c>
    </x:row>
    <x:row r="62">
      <x:c r="A62" s="22" t="n">
        <x:v>2006</x:v>
      </x:c>
      <x:c r="B62" s="23" t="n">
        <x:v>38961</x:v>
      </x:c>
      <x:c r="C62" s="23" t="n">
        <x:v>38954</x:v>
      </x:c>
      <x:c r="D62" s="22" t="n">
        <x:v>0</x:v>
      </x:c>
      <x:c r="E62" s="22" t="n">
        <x:v>7</x:v>
      </x:c>
      <x:c r="F62" s="24" t="n">
        <x:v>24.019791666666666</x:v>
      </x:c>
      <x:c r="G62" s="24" t="n">
        <x:v>23.1375</x:v>
      </x:c>
      <x:c r="H62" s="29" t="n">
        <x:f>G62-F62</x:f>
        <x:v>-0.8822916666666671</x:v>
      </x:c>
      <x:c r="I62" s="24" t="n">
        <x:v>31.5</x:v>
      </x:c>
      <x:c r="J62" s="24" t="n">
        <x:v>32.2</x:v>
      </x:c>
      <x:c r="K62" s="29" t="n">
        <x:f>J62-I62</x:f>
        <x:v>0.7000000000000028</x:v>
      </x:c>
      <x:c r="L62" s="24" t="n">
        <x:v>18</x:v>
      </x:c>
      <x:c r="M62" s="24" t="n">
        <x:v>17.4</x:v>
      </x:c>
      <x:c r="N62" s="29" t="n">
        <x:f>M62-L62</x:f>
        <x:v>-0.6000000000000014</x:v>
      </x:c>
      <x:c r="O62" s="24" t="n">
        <x:v>25.383333333333333</x:v>
      </x:c>
      <x:c r="P62" s="24" t="n">
        <x:v>23.9875</x:v>
      </x:c>
      <x:c r="Q62" s="29" t="n">
        <x:f>P62-O62</x:f>
        <x:v>-1.3958333333333321</x:v>
      </x:c>
    </x:row>
    <x:row r="63">
      <x:c r="A63" s="22" t="n">
        <x:v>2007</x:v>
      </x:c>
      <x:c r="B63" s="23" t="n">
        <x:v>39326</x:v>
      </x:c>
      <x:c r="C63" s="23" t="n">
        <x:v>39325</x:v>
      </x:c>
      <x:c r="D63" s="22" t="n">
        <x:v>3</x:v>
      </x:c>
      <x:c r="E63" s="22" t="n">
        <x:v>1</x:v>
      </x:c>
      <x:c r="F63" s="24" t="n">
        <x:v>20.723958333333336</x:v>
      </x:c>
      <x:c r="G63" s="24" t="n">
        <x:v>20.428125</x:v>
      </x:c>
      <x:c r="H63" s="29" t="n">
        <x:f>G63-F63</x:f>
        <x:v>-0.2958333333333343</x:v>
      </x:c>
      <x:c r="I63" s="24" t="n">
        <x:v>28.3</x:v>
      </x:c>
      <x:c r="J63" s="24" t="n">
        <x:v>27.5</x:v>
      </x:c>
      <x:c r="K63" s="29" t="n">
        <x:f>J63-I63</x:f>
        <x:v>-0.8000000000000007</x:v>
      </x:c>
      <x:c r="L63" s="24" t="n">
        <x:v>14.1</x:v>
      </x:c>
      <x:c r="M63" s="24" t="n">
        <x:v>14.1</x:v>
      </x:c>
      <x:c r="N63" s="29" t="n">
        <x:f>M63-L63</x:f>
        <x:v>0</x:v>
      </x:c>
      <x:c r="O63" s="24" t="n">
        <x:v>20.908333333333335</x:v>
      </x:c>
      <x:c r="P63" s="24" t="n">
        <x:v>20.960416666666667</x:v>
      </x:c>
      <x:c r="Q63" s="29" t="n">
        <x:f>P63-O63</x:f>
        <x:v>0.05208333333333215</x:v>
      </x:c>
    </x:row>
    <x:row r="64">
      <x:c r="A64" s="22" t="n">
        <x:v>2008</x:v>
      </x:c>
      <x:c r="B64" s="23" t="n">
        <x:v>39692</x:v>
      </x:c>
      <x:c r="C64" s="23" t="n">
        <x:v>39689</x:v>
      </x:c>
      <x:c r="D64" s="22" t="n">
        <x:v>1</x:v>
      </x:c>
      <x:c r="E64" s="22" t="n">
        <x:v>3</x:v>
      </x:c>
      <x:c r="F64" s="24" t="n">
        <x:v>23.584375</x:v>
      </x:c>
      <x:c r="G64" s="24" t="n">
        <x:v>23.00625</x:v>
      </x:c>
      <x:c r="H64" s="29" t="n">
        <x:f>G64-F64</x:f>
        <x:v>-0.578125</x:v>
      </x:c>
      <x:c r="I64" s="24" t="n">
        <x:v>31.9</x:v>
      </x:c>
      <x:c r="J64" s="24" t="n">
        <x:v>31.5</x:v>
      </x:c>
      <x:c r="K64" s="29" t="n">
        <x:f>J64-I64</x:f>
        <x:v>-0.3999999999999986</x:v>
      </x:c>
      <x:c r="L64" s="24" t="n">
        <x:v>16.4</x:v>
      </x:c>
      <x:c r="M64" s="24" t="n">
        <x:v>17.2</x:v>
      </x:c>
      <x:c r="N64" s="29" t="n">
        <x:f>M64-L64</x:f>
        <x:v>0.8000000000000007</x:v>
      </x:c>
      <x:c r="O64" s="24" t="n">
        <x:v>23.633333333333333</x:v>
      </x:c>
      <x:c r="P64" s="24" t="n">
        <x:v>23.5625</x:v>
      </x:c>
      <x:c r="Q64" s="29" t="n">
        <x:f>P64-O64</x:f>
        <x:v>-0.07083333333333286</x:v>
      </x:c>
    </x:row>
    <x:row r="65">
      <x:c r="A65" s="22" t="n">
        <x:v>2009</x:v>
      </x:c>
      <x:c r="B65" s="23" t="n">
        <x:v>40057</x:v>
      </x:c>
      <x:c r="C65" s="23" t="n">
        <x:v>40053</x:v>
      </x:c>
      <x:c r="D65" s="22" t="n">
        <x:v>0</x:v>
      </x:c>
      <x:c r="E65" s="22" t="n">
        <x:v>4</x:v>
      </x:c>
      <x:c r="F65" s="24" t="n">
        <x:v>25.671875</x:v>
      </x:c>
      <x:c r="G65" s="24" t="n">
        <x:v>24.305208333333333</x:v>
      </x:c>
      <x:c r="H65" s="29" t="n">
        <x:f>G65-F65</x:f>
        <x:v>-1.3666666666666671</x:v>
      </x:c>
      <x:c r="I65" s="24" t="n">
        <x:v>34.7</x:v>
      </x:c>
      <x:c r="J65" s="24" t="n">
        <x:v>31.8</x:v>
      </x:c>
      <x:c r="K65" s="29" t="n">
        <x:f>J65-I65</x:f>
        <x:v>-2.900000000000002</x:v>
      </x:c>
      <x:c r="L65" s="24" t="n">
        <x:v>19.4</x:v>
      </x:c>
      <x:c r="M65" s="24" t="n">
        <x:v>18.8</x:v>
      </x:c>
      <x:c r="N65" s="29" t="n">
        <x:f>M65-L65</x:f>
        <x:v>-0.5999999999999979</x:v>
      </x:c>
      <x:c r="O65" s="24" t="n">
        <x:v>26.182291666666664</x:v>
      </x:c>
      <x:c r="P65" s="24" t="n">
        <x:v>26.188541666666666</x:v>
      </x:c>
      <x:c r="Q65" s="29" t="n">
        <x:f>P65-O65</x:f>
        <x:v>0.006250000000001421</x:v>
      </x:c>
    </x:row>
    <x:row r="66">
      <x:c r="A66" s="22" t="n">
        <x:v>2010</x:v>
      </x:c>
      <x:c r="B66" s="23" t="n">
        <x:v>40422</x:v>
      </x:c>
      <x:c r="C66" s="23" t="n">
        <x:v>40417</x:v>
      </x:c>
      <x:c r="D66" s="22" t="n">
        <x:v>0</x:v>
      </x:c>
      <x:c r="E66" s="22" t="n">
        <x:v>5</x:v>
      </x:c>
      <x:c r="F66" s="24" t="n">
        <x:v>21.469791666666666</x:v>
      </x:c>
      <x:c r="G66" s="24" t="n">
        <x:v>25.688541666666666</x:v>
      </x:c>
      <x:c r="H66" s="29" t="n">
        <x:f>G66-F66</x:f>
        <x:v>4.21875</x:v>
      </x:c>
      <x:c r="I66" s="24" t="n">
        <x:v>29.7</x:v>
      </x:c>
      <x:c r="J66" s="24" t="n">
        <x:v>39.1</x:v>
      </x:c>
      <x:c r="K66" s="29" t="n">
        <x:f>J66-I66</x:f>
        <x:v>9.400000000000002</x:v>
      </x:c>
      <x:c r="L66" s="24" t="n">
        <x:v>15.8</x:v>
      </x:c>
      <x:c r="M66" s="24" t="n">
        <x:v>18.4</x:v>
      </x:c>
      <x:c r="N66" s="29" t="n">
        <x:f>M66-L66</x:f>
        <x:v>2.599999999999998</x:v>
      </x:c>
      <x:c r="O66" s="24" t="n">
        <x:v>22.071875</x:v>
      </x:c>
      <x:c r="P66" s="24" t="n">
        <x:v>26.51875</x:v>
      </x:c>
      <x:c r="Q66" s="29" t="n">
        <x:f>P66-O66</x:f>
        <x:v>4.446875000000002</x:v>
      </x:c>
    </x:row>
    <x:row r="67">
      <x:c r="A67" s="22" t="n">
        <x:v>2011</x:v>
      </x:c>
      <x:c r="B67" s="23" t="n">
        <x:v>40787</x:v>
      </x:c>
      <x:c r="C67" s="23" t="n">
        <x:v>40781</x:v>
      </x:c>
      <x:c r="D67" s="22" t="n">
        <x:v>0</x:v>
      </x:c>
      <x:c r="E67" s="22" t="n">
        <x:v>6</x:v>
      </x:c>
      <x:c r="F67" s="24" t="n">
        <x:v>21.084375</x:v>
      </x:c>
      <x:c r="G67" s="24" t="n">
        <x:v>23.81041666666667</x:v>
      </x:c>
      <x:c r="H67" s="29" t="n">
        <x:f>G67-F67</x:f>
        <x:v>2.726041666666667</x:v>
      </x:c>
      <x:c r="I67" s="24" t="n">
        <x:v>28.3</x:v>
      </x:c>
      <x:c r="J67" s="24" t="n">
        <x:v>31.9</x:v>
      </x:c>
      <x:c r="K67" s="29" t="n">
        <x:f>J67-I67</x:f>
        <x:v>3.599999999999998</x:v>
      </x:c>
      <x:c r="L67" s="24" t="n">
        <x:v>14.9</x:v>
      </x:c>
      <x:c r="M67" s="24" t="n">
        <x:v>17.9</x:v>
      </x:c>
      <x:c r="N67" s="29" t="n">
        <x:f>M67-L67</x:f>
        <x:v>2.9999999999999982</x:v>
      </x:c>
      <x:c r="O67" s="24" t="n">
        <x:v>21.089583333333334</x:v>
      </x:c>
      <x:c r="P67" s="24" t="n">
        <x:v>23.692708333333332</x:v>
      </x:c>
      <x:c r="Q67" s="29" t="n">
        <x:f>P67-O67</x:f>
        <x:v>2.6031249999999986</x:v>
      </x:c>
    </x:row>
    <x:row r="68">
      <x:c r="A68" s="22" t="n">
        <x:v>2012</x:v>
      </x:c>
      <x:c r="B68" s="23" t="n">
        <x:v>41153</x:v>
      </x:c>
      <x:c r="C68" s="23" t="n">
        <x:v>41152</x:v>
      </x:c>
      <x:c r="D68" s="22" t="n">
        <x:v>3</x:v>
      </x:c>
      <x:c r="E68" s="22" t="n">
        <x:v>1</x:v>
      </x:c>
      <x:c r="F68" s="24" t="n">
        <x:v>19.40625</x:v>
      </x:c>
      <x:c r="G68" s="24" t="n">
        <x:v>19.68125</x:v>
      </x:c>
      <x:c r="H68" s="29" t="n">
        <x:f>G68-F68</x:f>
        <x:v>0.2749999999999986</x:v>
      </x:c>
      <x:c r="I68" s="24" t="n">
        <x:v>26.5</x:v>
      </x:c>
      <x:c r="J68" s="24" t="n">
        <x:v>26.5</x:v>
      </x:c>
      <x:c r="K68" s="29" t="n">
        <x:f>J68-I68</x:f>
        <x:v>0</x:v>
      </x:c>
      <x:c r="L68" s="24" t="n">
        <x:v>12.1</x:v>
      </x:c>
      <x:c r="M68" s="24" t="n">
        <x:v>12.1</x:v>
      </x:c>
      <x:c r="N68" s="29" t="n">
        <x:f>M68-L68</x:f>
        <x:v>0</x:v>
      </x:c>
      <x:c r="O68" s="24" t="n">
        <x:v>18.592708333333334</x:v>
      </x:c>
      <x:c r="P68" s="24" t="n">
        <x:v>18.948958333333334</x:v>
      </x:c>
      <x:c r="Q68" s="29" t="n">
        <x:f>P68-O68</x:f>
        <x:v>0.3562499999999993</x:v>
      </x:c>
    </x:row>
    <x:row r="69">
      <x:c r="A69" s="22" t="n">
        <x:v>2013</x:v>
      </x:c>
      <x:c r="B69" s="23" t="n">
        <x:v>41518</x:v>
      </x:c>
      <x:c r="C69" s="23" t="n">
        <x:v>41516</x:v>
      </x:c>
      <x:c r="D69" s="22" t="n">
        <x:v>2</x:v>
      </x:c>
      <x:c r="E69" s="22" t="n">
        <x:v>2</x:v>
      </x:c>
      <x:c r="F69" s="24" t="n">
        <x:v>20.170833333333334</x:v>
      </x:c>
      <x:c r="G69" s="24" t="n">
        <x:v>19.358333333333334</x:v>
      </x:c>
      <x:c r="H69" s="29" t="n">
        <x:f>G69-F69</x:f>
        <x:v>-0.8125</x:v>
      </x:c>
      <x:c r="I69" s="24" t="n">
        <x:v>26.7</x:v>
      </x:c>
      <x:c r="J69" s="24" t="n">
        <x:v>25.7</x:v>
      </x:c>
      <x:c r="K69" s="29" t="n">
        <x:f>J69-I69</x:f>
        <x:v>-1</x:v>
      </x:c>
      <x:c r="L69" s="24" t="n">
        <x:v>13.9</x:v>
      </x:c>
      <x:c r="M69" s="24" t="n">
        <x:v>13.4</x:v>
      </x:c>
      <x:c r="N69" s="29" t="n">
        <x:f>M69-L69</x:f>
        <x:v>-0.5</x:v>
      </x:c>
      <x:c r="O69" s="24" t="n">
        <x:v>20.535416666666666</x:v>
      </x:c>
      <x:c r="P69" s="24" t="n">
        <x:v>19.790625</x:v>
      </x:c>
      <x:c r="Q69" s="29" t="n">
        <x:f>P69-O69</x:f>
        <x:v>-0.7447916666666679</x:v>
      </x:c>
    </x:row>
    <x:row r="70">
      <x:c r="A70" s="22" t="n">
        <x:v>2014</x:v>
      </x:c>
      <x:c r="B70" s="23" t="n">
        <x:v>41883</x:v>
      </x:c>
      <x:c r="C70" s="23" t="n">
        <x:v>41880</x:v>
      </x:c>
      <x:c r="D70" s="22" t="n">
        <x:v>1</x:v>
      </x:c>
      <x:c r="E70" s="22" t="n">
        <x:v>3</x:v>
      </x:c>
      <x:c r="F70" s="24" t="n">
        <x:v>26.264583333333334</x:v>
      </x:c>
      <x:c r="G70" s="24" t="n">
        <x:v>24.85520833333333</x:v>
      </x:c>
      <x:c r="H70" s="29" t="n">
        <x:f>G70-F70</x:f>
        <x:v>-1.4093750000000043</x:v>
      </x:c>
      <x:c r="I70" s="24" t="n">
        <x:v>35.3</x:v>
      </x:c>
      <x:c r="J70" s="24" t="n">
        <x:v>32.9</x:v>
      </x:c>
      <x:c r="K70" s="29" t="n">
        <x:f>J70-I70</x:f>
        <x:v>-2.3999999999999986</x:v>
      </x:c>
      <x:c r="L70" s="24" t="n">
        <x:v>19.8</x:v>
      </x:c>
      <x:c r="M70" s="24" t="n">
        <x:v>19</x:v>
      </x:c>
      <x:c r="N70" s="29" t="n">
        <x:f>M70-L70</x:f>
        <x:v>-0.8000000000000007</x:v>
      </x:c>
      <x:c r="O70" s="24" t="n">
        <x:v>27.730208333333334</x:v>
      </x:c>
      <x:c r="P70" s="24" t="n">
        <x:v>26.49895833333333</x:v>
      </x:c>
      <x:c r="Q70" s="29" t="n">
        <x:f>P70-O70</x:f>
        <x:v>-1.2312500000000028</x:v>
      </x:c>
    </x:row>
    <x:row r="71">
      <x:c r="A71" s="22" t="n">
        <x:v>2015</x:v>
      </x:c>
      <x:c r="B71" s="23" t="n">
        <x:v>42248</x:v>
      </x:c>
      <x:c r="C71" s="23" t="n">
        <x:v>42244</x:v>
      </x:c>
      <x:c r="D71" s="22" t="n">
        <x:v>0</x:v>
      </x:c>
      <x:c r="E71" s="22" t="n">
        <x:v>4</x:v>
      </x:c>
      <x:c r="F71" s="24" t="n">
        <x:v>21.778125</x:v>
      </x:c>
      <x:c r="G71" s="24" t="n">
        <x:v>25.202083333333334</x:v>
      </x:c>
      <x:c r="H71" s="29" t="n">
        <x:f>G71-F71</x:f>
        <x:v>3.423958333333335</x:v>
      </x:c>
      <x:c r="I71" s="24" t="n">
        <x:v>28.7</x:v>
      </x:c>
      <x:c r="J71" s="24" t="n">
        <x:v>33</x:v>
      </x:c>
      <x:c r="K71" s="29" t="n">
        <x:f>J71-I71</x:f>
        <x:v>4.300000000000001</x:v>
      </x:c>
      <x:c r="L71" s="24" t="n">
        <x:v>16.6</x:v>
      </x:c>
      <x:c r="M71" s="24" t="n">
        <x:v>19.2</x:v>
      </x:c>
      <x:c r="N71" s="29" t="n">
        <x:f>M71-L71</x:f>
        <x:v>2.599999999999998</x:v>
      </x:c>
      <x:c r="O71" s="24" t="n">
        <x:v>23.51770833333333</x:v>
      </x:c>
      <x:c r="P71" s="24" t="n">
        <x:v>26.682291666666664</x:v>
      </x:c>
      <x:c r="Q71" s="29" t="n">
        <x:f>P71-O71</x:f>
        <x:v>3.164583333333333</x:v>
      </x:c>
    </x:row>
    <x:row r="72">
      <x:c r="A72" s="22" t="n">
        <x:v>2016</x:v>
      </x:c>
      <x:c r="B72" s="23" t="n">
        <x:v>42614</x:v>
      </x:c>
      <x:c r="C72" s="23" t="n">
        <x:v>42608</x:v>
      </x:c>
      <x:c r="D72" s="22" t="n">
        <x:v>0</x:v>
      </x:c>
      <x:c r="E72" s="22" t="n">
        <x:v>6</x:v>
      </x:c>
      <x:c r="F72" s="24" t="n">
        <x:v>24.638541666666665</x:v>
      </x:c>
      <x:c r="G72" s="24" t="n">
        <x:v>24.91979166666667</x:v>
      </x:c>
      <x:c r="H72" s="29" t="n">
        <x:f>G72-F72</x:f>
        <x:v>0.28125000000000355</x:v>
      </x:c>
      <x:c r="I72" s="24" t="n">
        <x:v>35.3</x:v>
      </x:c>
      <x:c r="J72" s="24" t="n">
        <x:v>33.5</x:v>
      </x:c>
      <x:c r="K72" s="29" t="n">
        <x:f>J72-I72</x:f>
        <x:v>-1.7999999999999972</x:v>
      </x:c>
      <x:c r="L72" s="24" t="n">
        <x:v>17.7</x:v>
      </x:c>
      <x:c r="M72" s="24" t="n">
        <x:v>18.3</x:v>
      </x:c>
      <x:c r="N72" s="29" t="n">
        <x:f>M72-L72</x:f>
        <x:v>0.6000000000000014</x:v>
      </x:c>
      <x:c r="O72" s="24" t="n">
        <x:v>25.190625</x:v>
      </x:c>
      <x:c r="P72" s="24" t="n">
        <x:v>26.317708333333332</x:v>
      </x:c>
      <x:c r="Q72" s="29" t="n">
        <x:f>P72-O72</x:f>
        <x:v>1.1270833333333314</x:v>
      </x:c>
    </x:row>
    <x:row r="73">
      <x:c r="A73" s="22" t="n">
        <x:v>2017</x:v>
      </x:c>
      <x:c r="B73" s="23" t="n">
        <x:v>42979</x:v>
      </x:c>
      <x:c r="C73" s="23" t="n">
        <x:v>42972</x:v>
      </x:c>
      <x:c r="D73" s="22" t="n">
        <x:v>0</x:v>
      </x:c>
      <x:c r="E73" s="22" t="n">
        <x:v>7</x:v>
      </x:c>
      <x:c r="F73" s="24" t="n">
        <x:v>20.873958333333334</x:v>
      </x:c>
      <x:c r="G73" s="24" t="n">
        <x:v>25.578125</x:v>
      </x:c>
      <x:c r="H73" s="29" t="n">
        <x:f>G73-F73</x:f>
        <x:v>4.704166666666666</x:v>
      </x:c>
      <x:c r="I73" s="24" t="n">
        <x:v>29</x:v>
      </x:c>
      <x:c r="J73" s="24" t="n">
        <x:v>34.1</x:v>
      </x:c>
      <x:c r="K73" s="29" t="n">
        <x:f>J73-I73</x:f>
        <x:v>5.100000000000001</x:v>
      </x:c>
      <x:c r="L73" s="24" t="n">
        <x:v>14.9</x:v>
      </x:c>
      <x:c r="M73" s="24" t="n">
        <x:v>19.9</x:v>
      </x:c>
      <x:c r="N73" s="29" t="n">
        <x:f>M73-L73</x:f>
        <x:v>4.999999999999998</x:v>
      </x:c>
      <x:c r="O73" s="24" t="n">
        <x:v>22.09166666666667</x:v>
      </x:c>
      <x:c r="P73" s="24" t="n">
        <x:v>26.588541666666668</x:v>
      </x:c>
      <x:c r="Q73" s="29" t="n">
        <x:f>P73-O73</x:f>
        <x:v>4.496874999999999</x:v>
      </x:c>
    </x:row>
    <x:row r="74">
      <x:c r="A74" s="22" t="n">
        <x:v>2018</x:v>
      </x:c>
      <x:c r="B74" s="23" t="n">
        <x:v>43344</x:v>
      </x:c>
      <x:c r="C74" s="23" t="n">
        <x:v>43343</x:v>
      </x:c>
      <x:c r="D74" s="22" t="n">
        <x:v>3</x:v>
      </x:c>
      <x:c r="E74" s="22" t="n">
        <x:v>1</x:v>
      </x:c>
      <x:c r="F74" s="24" t="n">
        <x:v>24.11875</x:v>
      </x:c>
      <x:c r="G74" s="24" t="n">
        <x:v>24.111458333333335</x:v>
      </x:c>
      <x:c r="H74" s="29" t="n">
        <x:f>G74-F74</x:f>
        <x:v>-0.007291666666663588</x:v>
      </x:c>
      <x:c r="I74" s="24" t="n">
        <x:v>31.2</x:v>
      </x:c>
      <x:c r="J74" s="24" t="n">
        <x:v>31.2</x:v>
      </x:c>
      <x:c r="K74" s="29" t="n">
        <x:f>J74-I74</x:f>
        <x:v>0</x:v>
      </x:c>
      <x:c r="L74" s="24" t="n">
        <x:v>18.7</x:v>
      </x:c>
      <x:c r="M74" s="24" t="n">
        <x:v>18.7</x:v>
      </x:c>
      <x:c r="N74" s="29" t="n">
        <x:f>M74-L74</x:f>
        <x:v>0</x:v>
      </x:c>
      <x:c r="O74" s="24" t="n">
        <x:v>26.268749999999997</x:v>
      </x:c>
      <x:c r="P74" s="24" t="n">
        <x:v>26.34375</x:v>
      </x:c>
      <x:c r="Q74" s="29" t="n">
        <x:f>P74-O74</x:f>
        <x:v>0.07500000000000284</x:v>
      </x:c>
    </x:row>
    <x:row r="75">
      <x:c r="A75" s="22" t="n">
        <x:v>2019</x:v>
      </x:c>
      <x:c r="B75" s="23" t="n">
        <x:v>43709</x:v>
      </x:c>
      <x:c r="C75" s="23" t="n">
        <x:v>43707</x:v>
      </x:c>
      <x:c r="D75" s="22" t="n">
        <x:v>2</x:v>
      </x:c>
      <x:c r="E75" s="22" t="n">
        <x:v>2</x:v>
      </x:c>
      <x:c r="F75" s="24" t="n">
        <x:v>23.204166666666666</x:v>
      </x:c>
      <x:c r="G75" s="24" t="n">
        <x:v>23.523958333333333</x:v>
      </x:c>
      <x:c r="H75" s="29" t="n">
        <x:f>G75-F75</x:f>
        <x:v>0.31979166666666714</x:v>
      </x:c>
      <x:c r="I75" s="24" t="n">
        <x:v>30.8</x:v>
      </x:c>
      <x:c r="J75" s="24" t="n">
        <x:v>30.8</x:v>
      </x:c>
      <x:c r="K75" s="29" t="n">
        <x:f>J75-I75</x:f>
        <x:v>0</x:v>
      </x:c>
      <x:c r="L75" s="24" t="n">
        <x:v>19.3</x:v>
      </x:c>
      <x:c r="M75" s="24" t="n">
        <x:v>17.9</x:v>
      </x:c>
      <x:c r="N75" s="29" t="n">
        <x:f>M75-L75</x:f>
        <x:v>-1.4000000000000021</x:v>
      </x:c>
      <x:c r="O75" s="24" t="n">
        <x:v>25.287499999999998</x:v>
      </x:c>
      <x:c r="P75" s="24" t="n">
        <x:v>25.240624999999998</x:v>
      </x:c>
      <x:c r="Q75" s="29" t="n">
        <x:f>P75-O75</x:f>
        <x:v>-0.046875</x:v>
      </x:c>
    </x:row>
    <x:row r="76">
      <x:c r="A76" s="22" t="n">
        <x:v>2020</x:v>
      </x:c>
      <x:c r="B76" s="23" t="n">
        <x:v>44075</x:v>
      </x:c>
      <x:c r="C76" s="23" t="n">
        <x:v>44071</x:v>
      </x:c>
      <x:c r="D76" s="22" t="n">
        <x:v>0</x:v>
      </x:c>
      <x:c r="E76" s="22" t="n">
        <x:v>4</x:v>
      </x:c>
      <x:c r="F76" s="24" t="n">
        <x:v>20.414583333333333</x:v>
      </x:c>
      <x:c r="G76" s="24" t="n">
        <x:v>22.25208333333333</x:v>
      </x:c>
      <x:c r="H76" s="29" t="n">
        <x:f>G76-F76</x:f>
        <x:v>1.8374999999999986</x:v>
      </x:c>
      <x:c r="I76" s="24" t="n">
        <x:v>26.7</x:v>
      </x:c>
      <x:c r="J76" s="24" t="n">
        <x:v>34</x:v>
      </x:c>
      <x:c r="K76" s="29" t="n">
        <x:f>J76-I76</x:f>
        <x:v>7.300000000000001</x:v>
      </x:c>
      <x:c r="L76" s="24" t="n">
        <x:v>15.5</x:v>
      </x:c>
      <x:c r="M76" s="24" t="n">
        <x:v>14.2</x:v>
      </x:c>
      <x:c r="N76" s="29" t="n">
        <x:f>M76-L76</x:f>
        <x:v>-1.3000000000000007</x:v>
      </x:c>
      <x:c r="O76" s="24" t="n">
        <x:v>21.179166666666667</x:v>
      </x:c>
      <x:c r="P76" s="24" t="n">
        <x:v>22.084375</x:v>
      </x:c>
      <x:c r="Q76" s="29" t="n">
        <x:f>P76-O76</x:f>
        <x:v>0.9052083333333343</x:v>
      </x:c>
    </x:row>
    <x:row r="77">
      <x:c r="A77" s="22" t="n">
        <x:v>2021</x:v>
      </x:c>
      <x:c r="B77" s="23" t="n">
        <x:v>44440</x:v>
      </x:c>
      <x:c r="C77" s="23" t="n">
        <x:v>44435</x:v>
      </x:c>
      <x:c r="D77" s="22" t="n">
        <x:v>0</x:v>
      </x:c>
      <x:c r="E77" s="22" t="n">
        <x:v>5</x:v>
      </x:c>
      <x:c r="F77" s="24" t="n">
        <x:v>21.883333333333333</x:v>
      </x:c>
      <x:c r="G77" s="24" t="n">
        <x:v>25.209374999999998</x:v>
      </x:c>
      <x:c r="H77" s="29" t="n">
        <x:f>G77-F77</x:f>
        <x:v>3.326041666666665</x:v>
      </x:c>
      <x:c r="I77" s="24" t="n">
        <x:v>27.6</x:v>
      </x:c>
      <x:c r="J77" s="24" t="n">
        <x:v>34.1</x:v>
      </x:c>
      <x:c r="K77" s="29" t="n">
        <x:f>J77-I77</x:f>
        <x:v>6.5</x:v>
      </x:c>
      <x:c r="L77" s="24" t="n">
        <x:v>16.7</x:v>
      </x:c>
      <x:c r="M77" s="24" t="n">
        <x:v>20.5</x:v>
      </x:c>
      <x:c r="N77" s="29" t="n">
        <x:f>M77-L77</x:f>
        <x:v>3.8000000000000007</x:v>
      </x:c>
      <x:c r="O77" s="24" t="n">
        <x:v>23.76354166666667</x:v>
      </x:c>
      <x:c r="P77" s="24" t="n">
        <x:v>26.68541666666667</x:v>
      </x:c>
      <x:c r="Q77" s="29" t="n">
        <x:f>P77-O77</x:f>
        <x:v>2.921875</x:v>
      </x:c>
    </x:row>
    <x:row r="78">
      <x:c r="A78" s="22" t="n">
        <x:v>2022</x:v>
      </x:c>
      <x:c r="B78" s="23" t="n">
        <x:v>44805</x:v>
      </x:c>
      <x:c r="C78" s="23" t="n">
        <x:v>44799</x:v>
      </x:c>
      <x:c r="D78" s="22" t="n">
        <x:v>0</x:v>
      </x:c>
      <x:c r="E78" s="22" t="n">
        <x:v>6</x:v>
      </x:c>
      <x:c r="F78" s="24" t="n">
        <x:v>25.57916666666667</x:v>
      </x:c>
      <x:c r="G78" s="24" t="n">
        <x:v>24.91875</x:v>
      </x:c>
      <x:c r="H78" s="29" t="n">
        <x:f>G78-F78</x:f>
        <x:v>-0.66041666666667</x:v>
      </x:c>
      <x:c r="I78" s="24" t="n">
        <x:v>32.4</x:v>
      </x:c>
      <x:c r="J78" s="24" t="n">
        <x:v>32.1</x:v>
      </x:c>
      <x:c r="K78" s="29" t="n">
        <x:f>J78-I78</x:f>
        <x:v>-0.29999999999999716</x:v>
      </x:c>
      <x:c r="L78" s="24" t="n">
        <x:v>19.3</x:v>
      </x:c>
      <x:c r="M78" s="24" t="n">
        <x:v>19.5</x:v>
      </x:c>
      <x:c r="N78" s="29" t="n">
        <x:f>M78-L78</x:f>
        <x:v>0.1999999999999993</x:v>
      </x:c>
      <x:c r="O78" s="24" t="n">
        <x:v>25.727083333333333</x:v>
      </x:c>
      <x:c r="P78" s="24" t="n">
        <x:v>26.13125</x:v>
      </x:c>
      <x:c r="Q78" s="29" t="n">
        <x:f>P78-O78</x:f>
        <x:v>0.40416666666666856</x:v>
      </x:c>
    </x:row>
    <x:row r="79">
      <x:c r="A79" s="22" t="n">
        <x:v>2023</x:v>
      </x:c>
      <x:c r="B79" s="23" t="n">
        <x:v>45170</x:v>
      </x:c>
      <x:c r="C79" s="23" t="n">
        <x:v>45163</x:v>
      </x:c>
      <x:c r="D79" s="22" t="n">
        <x:v>0</x:v>
      </x:c>
      <x:c r="E79" s="22" t="n">
        <x:v>7</x:v>
      </x:c>
      <x:c r="F79" s="24" t="n">
        <x:v>21.616666666666667</x:v>
      </x:c>
      <x:c r="G79" s="24" t="n">
        <x:v>25.742708333333333</x:v>
      </x:c>
      <x:c r="H79" s="29" t="n">
        <x:f>G79-F79</x:f>
        <x:v>4.126041666666666</x:v>
      </x:c>
      <x:c r="I79" s="24" t="n">
        <x:v>28</x:v>
      </x:c>
      <x:c r="J79" s="24" t="n">
        <x:v>38.8</x:v>
      </x:c>
      <x:c r="K79" s="29" t="n">
        <x:f>J79-I79</x:f>
        <x:v>10.799999999999997</x:v>
      </x:c>
      <x:c r="L79" s="24" t="n">
        <x:v>18</x:v>
      </x:c>
      <x:c r="M79" s="24" t="n">
        <x:v>16.1</x:v>
      </x:c>
      <x:c r="N79" s="29" t="n">
        <x:f>M79-L79</x:f>
        <x:v>-1.8999999999999986</x:v>
      </x:c>
      <x:c r="O79" s="24" t="n">
        <x:v>22.839583333333334</x:v>
      </x:c>
      <x:c r="P79" s="24" t="n">
        <x:v>25.545833333333334</x:v>
      </x:c>
      <x:c r="Q79" s="29" t="n">
        <x:f>P79-O79</x:f>
        <x:v>2.7062500000000007</x:v>
      </x:c>
    </x:row>
    <x:row r="80">
      <x:c r="A80" s="22" t="n">
        <x:v>2024</x:v>
      </x:c>
      <x:c r="B80" s="23" t="n">
        <x:v>45536</x:v>
      </x:c>
      <x:c r="C80" s="23" t="n">
        <x:v>45534</x:v>
      </x:c>
      <x:c r="D80" s="22" t="n">
        <x:v>2</x:v>
      </x:c>
      <x:c r="E80" s="22" t="n">
        <x:v>2</x:v>
      </x:c>
      <x:c r="F80" s="24" t="n">
        <x:v>23.163541666666667</x:v>
      </x:c>
      <x:c r="G80" s="24" t="n">
        <x:v>23.73125</x:v>
      </x:c>
      <x:c r="H80" s="29" t="n">
        <x:f>G80-F80</x:f>
        <x:v>0.5677083333333321</x:v>
      </x:c>
      <x:c r="I80" s="24" t="n">
        <x:v>29.1</x:v>
      </x:c>
      <x:c r="J80" s="24" t="n">
        <x:v>29.7</x:v>
      </x:c>
      <x:c r="K80" s="29" t="n">
        <x:f>J80-I80</x:f>
        <x:v>0.5999999999999979</x:v>
      </x:c>
      <x:c r="L80" s="24" t="n">
        <x:v>17.6</x:v>
      </x:c>
      <x:c r="M80" s="24" t="n">
        <x:v>20</x:v>
      </x:c>
      <x:c r="N80" s="29" t="n">
        <x:f>M80-L80</x:f>
        <x:v>2.3999999999999986</x:v>
      </x:c>
      <x:c r="O80" s="24" t="n">
        <x:v>25.708333333333332</x:v>
      </x:c>
      <x:c r="P80" s="24" t="n">
        <x:v>25.860416666666666</x:v>
      </x:c>
      <x:c r="Q80" s="29" t="n">
        <x:f>P80-O80</x:f>
        <x:v>0.15208333333333357</x:v>
      </x:c>
    </x:row>
    <x:row r="81">
      <x:c r="A81" s="25" t="n">
        <x:v>2025</x:v>
      </x:c>
      <x:c r="B81" s="26" t="n">
        <x:v>45901</x:v>
      </x:c>
      <x:c r="C81" s="26" t="n">
        <x:v>45898</x:v>
      </x:c>
      <x:c r="D81" s="25" t="n">
        <x:v>1</x:v>
      </x:c>
      <x:c r="E81" s="25" t="n">
        <x:v>3</x:v>
      </x:c>
      <x:c r="F81" s="27" t="n">
        <x:v>23.638541666666665</x:v>
      </x:c>
      <x:c r="G81" s="27" t="n">
        <x:v>24.790625</x:v>
      </x:c>
      <x:c r="H81" s="30" t="n">
        <x:f>G81-F81</x:f>
        <x:v>1.1520833333333336</x:v>
      </x:c>
      <x:c r="I81" s="27" t="n">
        <x:v>33.2</x:v>
      </x:c>
      <x:c r="J81" s="27" t="n">
        <x:v>32.2</x:v>
      </x:c>
      <x:c r="K81" s="30" t="n">
        <x:f>J81-I81</x:f>
        <x:v>-1</x:v>
      </x:c>
      <x:c r="L81" s="27" t="n">
        <x:v>16.2</x:v>
      </x:c>
      <x:c r="M81" s="27" t="n">
        <x:v>16.2</x:v>
      </x:c>
      <x:c r="N81" s="30" t="n">
        <x:f>M81-L81</x:f>
        <x:v>0</x:v>
      </x:c>
      <x:c r="O81" s="27" t="n">
        <x:v>22.304166666666667</x:v>
      </x:c>
      <x:c r="P81" s="27" t="n">
        <x:v>23.0625</x:v>
      </x:c>
      <x:c r="Q81" s="30" t="n">
        <x:f>P81-O81</x:f>
        <x:v>0.7583333333333329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15" hidden="0" customWidth="1"/>
  </x:cols>
  <x:sheetData>
    <x:row r="2">
      <x:c r="A2" s="196" t="str">
        <x:v>Método, controles y limitaciones</x:v>
      </x:c>
      <x:c r="B2" s="13"/>
    </x:row>
    <x:row r="3">
      <x:c r="A3" s="13"/>
      <x:c r="B3" s="13"/>
    </x:row>
    <x:row r="4">
      <x:c r="A4" s="8" t="str">
        <x:v>Elemento</x:v>
      </x:c>
      <x:c r="B4" s="8" t="str">
        <x:v>Especificación</x:v>
      </x:c>
    </x:row>
    <x:row r="5" ht="47" customHeight="1">
      <x:c r="A5" s="193" t="str">
        <x:v>Hipótesis</x:v>
      </x:c>
      <x:c r="B5" s="81" t="str">
        <x:v>Para cada variable j y año t se define D(j,t)=B(j,t)−A(j,t). Se contrasta unilateralmente si la media reciente de D supera a la media histórica no solapada.</x:v>
      </x:c>
    </x:row>
    <x:row r="6" ht="47" customHeight="1">
      <x:c r="A6" s="194" t="str">
        <x:v>Estimando principal</x:v>
      </x:c>
      <x:c r="B6" s="85" t="str">
        <x:v>Δ=(B reciente−B histórico)−(A reciente−A histórico). El análisis principal usa 2016–2025 frente a 1950–2015. La comparación con 1950–2025 es solo descriptiva porque incluye los años recientes.</x:v>
      </x:c>
    </x:row>
    <x:row r="7" ht="47" customHeight="1">
      <x:c r="A7" s="194" t="str">
        <x:v>Unidad analítica</x:v>
      </x:c>
      <x:c r="B7" s="85" t="str">
        <x:v>Un año. Las 96 horas de cada periodo no se tratan como observaciones independientes; así se evita pseudorreplicación.</x:v>
      </x:c>
    </x:row>
    <x:row r="8" ht="47" customHeight="1">
      <x:c r="A8" s="194" t="str">
        <x:v>Ajuste calendárico</x:v>
      </x:c>
      <x:c r="B8" s="85" t="str">
        <x:v>La separación entre el inicio de B y el 1 de septiembre se modela como categoría de 1 a 7 días. En 2016–2025: 6, 7, 1, 2, 4, 5, 6, 7, 2, 3 días.</x:v>
      </x:c>
    </x:row>
    <x:row r="9" ht="47" customHeight="1">
      <x:c r="A9" s="194" t="str">
        <x:v>Permutación estratificada</x:v>
      </x:c>
      <x:c r="B9" s="85" t="str">
        <x:v>Reasignación de etiquetas reciente/histórico dentro de cada categoría calendárica, conservando sus recuentos. 500.000 réplicas Monte Carlo; espacio total 2.214.451.250; semilla 20260922. La p principal tiene error Monte Carlo menor de 0.0007.</x:v>
      </x:c>
    </x:row>
    <x:row r="10" ht="47" customHeight="1">
      <x:c r="A10" s="194" t="str">
        <x:v>Multiplicidad</x:v>
      </x:c>
      <x:c r="B10" s="85" t="str">
        <x:v>Corrección maxT conjunta sobre las cuatro variables, conservando su correlación en cada reasignación. Se muestran p sin ajustar y p maxT.</x:v>
      </x:c>
    </x:row>
    <x:row r="11" ht="47" customHeight="1">
      <x:c r="A11" s="194" t="str">
        <x:v>Bootstrap temporal</x:v>
      </x:c>
      <x:c r="B11" s="85" t="str">
        <x:v>Bootstrap circular por bloques sobre residuos multivariantes del modelo ajustado. 30.000 réplicas; bloque principal de 5 años y sensibilidades de 3 y 7 años.</x:v>
      </x:c>
    </x:row>
    <x:row r="12" ht="47" customHeight="1">
      <x:c r="A12" s="194" t="str">
        <x:v>Ventanas históricas</x:v>
      </x:c>
      <x:c r="B12" s="85" t="str">
        <x:v>El periodo 2016–2025 se compara con todas las ventanas históricas consecutivas de diez años. Cada ventana se ajusta usando los restantes años de sus mismas categorías calendáricas.</x:v>
      </x:c>
    </x:row>
    <x:row r="13" ht="47" customHeight="1">
      <x:c r="A13" s="194" t="str">
        <x:v>Tendencia</x:v>
      </x:c>
      <x:c r="B13" s="85" t="str">
        <x:v>Regresión de B−A sobre año y categorías calendáricas. Inferencia Newey–West con retardo 5; pendiente expresada en °C por decenio.</x:v>
      </x:c>
    </x:row>
    <x:row r="14" ht="47" customHeight="1">
      <x:c r="A14" s="194" t="str">
        <x:v>Sensibilidad temporal</x:v>
      </x:c>
      <x:c r="B14" s="85" t="str">
        <x:v>Se repite el análisis moviendo un año el inicio: 2015–2025 y 2017–2025. También se usa leave-one-year-out, mediana y periodos A/B sin solapamiento.</x:v>
      </x:c>
    </x:row>
    <x:row r="15" ht="47" customHeight="1">
      <x:c r="A15" s="194" t="str">
        <x:v>Criterio de robustez</x:v>
      </x:c>
      <x:c r="B15" s="85" t="str">
        <x:v>Se valora el signo, intervalo bootstrap, p maxT, estabilidad temporal y análisis auxiliares. La afirmación conjunta sobre las cuatro variables requiere respaldo coherente en todas ellas.</x:v>
      </x:c>
    </x:row>
    <x:row r="16" ht="47" customHeight="1">
      <x:c r="A16" s="194" t="str">
        <x:v>Control de datos anuales</x:v>
      </x:c>
      <x:c r="B16" s="85" t="str">
        <x:v>76 años completos, sin ausencias ni años duplicados. Separaciones: 1 días=11, 2 días=11, 3 días=11, 4 días=11, 5 días=10, 6 días=11, 7 días=11.</x:v>
      </x:c>
    </x:row>
    <x:row r="17" ht="47" customHeight="1">
      <x:c r="A17" s="194" t="str">
        <x:v>Control de datos horarios</x:v>
      </x:c>
      <x:c r="B17" s="85" t="str">
        <x:v>El archivo contiene 21.888 registros, 288 por año. Las filas de las 04:00 aparecen etiquetadas como 00:00, creando 912 marcas duplicadas. La secuencia está completa y reconstruye los agregados anuales con error máximo 7.1e-15 °C.</x:v>
      </x:c>
    </x:row>
    <x:row r="18" ht="47" customHeight="1">
      <x:c r="A18" s="194" t="str">
        <x:v>Limitación principal</x:v>
      </x:c>
      <x:c r="B18" s="85" t="str">
        <x:v>Diez años mejoran la precisión respecto a cinco, pero siguen siendo una muestra temporal pequeña. La inferencia depende de supuestos de intercambiabilidad o estacionariedad aproximada.</x:v>
      </x:c>
    </x:row>
    <x:row r="19" ht="47" customHeight="1">
      <x:c r="A19" s="194" t="str">
        <x:v>Fuente climática</x:v>
      </x:c>
      <x:c r="B19" s="85" t="str">
        <x:v>ERA5-Land/Copernicus-ECMWF mediante Open-Meteo Historical Weather API: https://open-meteo.com/en/docs/historical-weather-api</x:v>
      </x:c>
    </x:row>
    <x:row r="20" ht="47" customHeight="1">
      <x:c r="A20" s="194" t="str">
        <x:v>Bootstrap por bloques</x:v>
      </x:c>
      <x:c r="B20" s="85" t="str">
        <x:v>Künsch HR. The Jackknife and the Bootstrap for General Stationary Observations. Annals of Statistics. 1989;17:1217–1241. https://doi.org/10.1214/aos/1176347265</x:v>
      </x:c>
    </x:row>
    <x:row r="21" ht="47" customHeight="1">
      <x:c r="A21" s="195" t="str">
        <x:v>Errores HAC</x:v>
      </x:c>
      <x:c r="B21" s="89" t="str">
        <x:v>Newey WK, West KD. A Simple, Positive Semi-definite, Heteroskedasticity and Autocorrelation Consistent Covariance Matrix. Econometrica. 1987;55:703–708. https://doi.org/10.2307/1913610</x:v>
      </x:c>
    </x:row>
  </x:sheetData>
  <x:pageMargins left="0.7" right="0.7" top="0.75" bottom="0.75" header="0.3" footer="0.3"/>
</x:worksheet>
</file>